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E:\03 進度予定表\0902版\"/>
    </mc:Choice>
  </mc:AlternateContent>
  <xr:revisionPtr revIDLastSave="0" documentId="13_ncr:1_{3F1A39D9-FDAD-4CBA-BBE5-DA5153DF0108}" xr6:coauthVersionLast="47" xr6:coauthVersionMax="47" xr10:uidLastSave="{00000000-0000-0000-0000-000000000000}"/>
  <bookViews>
    <workbookView xWindow="444" yWindow="996" windowWidth="28776" windowHeight="19440" xr2:uid="{00000000-000D-0000-FFFF-FFFF00000000}"/>
  </bookViews>
  <sheets>
    <sheet name="基本設定" sheetId="1" r:id="rId1"/>
    <sheet name="時間割マスター" sheetId="2" r:id="rId2"/>
    <sheet name="週案_テンプレート" sheetId="3" r:id="rId3"/>
  </sheets>
  <functionGroups builtInGroupCount="19"/>
  <definedNames>
    <definedName name="_xlnm.Print_Area" localSheetId="2">週案_テンプレート!$A$1:$P$25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3" l="1"/>
  <c r="O23" i="3"/>
  <c r="O24" i="3"/>
  <c r="N23" i="3"/>
  <c r="N24" i="3"/>
  <c r="M23" i="3"/>
  <c r="M24" i="3"/>
  <c r="F23" i="3"/>
  <c r="E24" i="3"/>
  <c r="D23" i="3"/>
  <c r="B23" i="3"/>
  <c r="F22" i="3"/>
  <c r="E22" i="3"/>
  <c r="B22" i="3"/>
  <c r="G21" i="3"/>
  <c r="G23" i="3" s="1"/>
  <c r="F21" i="3"/>
  <c r="F24" i="3" s="1"/>
  <c r="E21" i="3"/>
  <c r="E23" i="3" s="1"/>
  <c r="D21" i="3"/>
  <c r="D24" i="3" s="1"/>
  <c r="C21" i="3"/>
  <c r="C23" i="3" s="1"/>
  <c r="B21" i="3"/>
  <c r="B24" i="3" s="1"/>
  <c r="A35" i="1"/>
  <c r="A34" i="1"/>
  <c r="A33" i="1"/>
  <c r="A32" i="1"/>
  <c r="A31" i="1"/>
  <c r="A30" i="1"/>
  <c r="A29" i="1"/>
  <c r="A28" i="1"/>
  <c r="A27" i="1"/>
  <c r="A26" i="1"/>
  <c r="A25" i="1"/>
  <c r="A24" i="1"/>
  <c r="A23" i="1"/>
  <c r="P23" i="3" l="1"/>
  <c r="P24" i="3"/>
  <c r="C24" i="3"/>
  <c r="G24" i="3"/>
  <c r="C22" i="3"/>
  <c r="G22" i="3"/>
  <c r="D22" i="3"/>
  <c r="N22" i="3"/>
  <c r="O22" i="3"/>
  <c r="P22" i="3" l="1"/>
</calcChain>
</file>

<file path=xl/sharedStrings.xml><?xml version="1.0" encoding="utf-8"?>
<sst xmlns="http://schemas.openxmlformats.org/spreadsheetml/2006/main" count="68" uniqueCount="63">
  <si>
    <t>設定項目</t>
  </si>
  <si>
    <t>入力値</t>
  </si>
  <si>
    <t>説明</t>
  </si>
  <si>
    <t>年度（西暦）</t>
  </si>
  <si>
    <t>例：2026</t>
  </si>
  <si>
    <t>担当教科</t>
  </si>
  <si>
    <t>授業集計のメイン科目</t>
  </si>
  <si>
    <t>【担当クラス】</t>
  </si>
  <si>
    <t>クラス①</t>
  </si>
  <si>
    <t>クラス②</t>
  </si>
  <si>
    <t>クラス③</t>
  </si>
  <si>
    <t>クラス④</t>
  </si>
  <si>
    <t>クラス⑤</t>
  </si>
  <si>
    <t>クラス⑥</t>
  </si>
  <si>
    <t>クラス⑦</t>
  </si>
  <si>
    <t>クラス⑧</t>
  </si>
  <si>
    <t>【特別活動等】</t>
  </si>
  <si>
    <t>特別活動①</t>
  </si>
  <si>
    <t>特別活動②</t>
  </si>
  <si>
    <t>特別活動③</t>
  </si>
  <si>
    <t>道徳</t>
  </si>
  <si>
    <t>特別活動④</t>
  </si>
  <si>
    <t>総合</t>
  </si>
  <si>
    <t>特別活動⑤</t>
  </si>
  <si>
    <t>【週コマ数マスター】</t>
  </si>
  <si>
    <t>集計表の「週コマ数」欄に反映</t>
  </si>
  <si>
    <t>空欄＝集計しない</t>
  </si>
  <si>
    <t>時間割マスター　※プルダウンからクラスを選択</t>
  </si>
  <si>
    <t>校時</t>
  </si>
  <si>
    <t>月</t>
  </si>
  <si>
    <t>火</t>
  </si>
  <si>
    <t>水</t>
  </si>
  <si>
    <t>木</t>
  </si>
  <si>
    <t>金</t>
  </si>
  <si>
    <t>2026年度　第　　週（　　月　　日?　　月　　日）　進度予定表</t>
  </si>
  <si>
    <t>決裁</t>
  </si>
  <si>
    <t>校長</t>
  </si>
  <si>
    <t>教頭</t>
  </si>
  <si>
    <t>主幹</t>
  </si>
  <si>
    <t>教務</t>
  </si>
  <si>
    <t>時</t>
  </si>
  <si>
    <t>　/　（月）</t>
  </si>
  <si>
    <t>　/　（火）</t>
  </si>
  <si>
    <t>　/　（水）</t>
  </si>
  <si>
    <t>　/　（木）</t>
  </si>
  <si>
    <t>　/　（金）</t>
  </si>
  <si>
    <t>予定</t>
  </si>
  <si>
    <t>授業後</t>
  </si>
  <si>
    <t>授業</t>
  </si>
  <si>
    <t>計</t>
  </si>
  <si>
    <t>週コマ数</t>
  </si>
  <si>
    <t>実施/予定</t>
  </si>
  <si>
    <t>累　計</t>
  </si>
  <si>
    <t>特活(学活含む)</t>
  </si>
  <si>
    <t>学活で独立</t>
  </si>
  <si>
    <t>集計方式：学活</t>
    <phoneticPr fontId="5"/>
  </si>
  <si>
    <t>【長期休業期間】</t>
  </si>
  <si>
    <t>夏休み開始</t>
  </si>
  <si>
    <t>夏休み終了</t>
  </si>
  <si>
    <t>冬休み開始</t>
  </si>
  <si>
    <t>冬休み終了</t>
  </si>
  <si>
    <t>春休み開始</t>
  </si>
  <si>
    <t>春休み終了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</si>
</sst>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ＭＳ Ｐゴシック"/>
      <family val="2"/>
      <scheme val="minor"/>
    </font>
    <font>
      <b/>
      <sz val="10"/>
      <color rgb="FFFFFFFF"/>
      <name val="メイリオ"/>
      <family val="3"/>
      <charset val="128"/>
    </font>
    <font>
      <b/>
      <sz val="10"/>
      <color rgb="FF1F3864"/>
      <name val="メイリオ"/>
      <family val="3"/>
      <charset val="128"/>
    </font>
    <font>
      <sz val="9"/>
      <color rgb="FF888888"/>
      <name val="メイリオ"/>
      <family val="3"/>
      <charset val="128"/>
    </font>
    <font>
      <sz val="10"/>
      <color rgb="FF000000"/>
      <name val="メイリオ"/>
      <family val="3"/>
      <charset val="128"/>
    </font>
    <font>
      <sz val="6"/>
      <name val="ＭＳ Ｐゴシック"/>
      <family val="3"/>
      <charset val="128"/>
      <scheme val="minor"/>
    </font>
    <font>
      <sz val="9"/>
      <color rgb="FF000000"/>
      <name val="メイリオ"/>
      <family val="3"/>
      <charset val="128"/>
    </font>
    <font>
      <b/>
      <sz val="9"/>
      <color rgb="FFFFFFFF"/>
      <name val="メイリオ"/>
      <family val="3"/>
      <charset val="128"/>
    </font>
    <font>
      <b/>
      <sz val="10"/>
      <color rgb="FF1A237E"/>
      <name val="メイリオ"/>
      <family val="3"/>
      <charset val="128"/>
    </font>
    <font>
      <b/>
      <sz val="11"/>
      <color rgb="FFFFFFFF"/>
      <name val="メイリオ"/>
      <family val="3"/>
      <charset val="128"/>
    </font>
    <font>
      <b/>
      <sz val="7"/>
      <color rgb="FF646464"/>
      <name val="メイリオ"/>
      <family val="3"/>
      <charset val="128"/>
    </font>
    <font>
      <sz val="7"/>
      <color rgb="FF646464"/>
      <name val="メイリオ"/>
      <family val="3"/>
      <charset val="128"/>
    </font>
    <font>
      <b/>
      <sz val="11"/>
      <color rgb="FF000000"/>
      <name val="メイリオ"/>
      <family val="3"/>
      <charset val="128"/>
    </font>
    <font>
      <sz val="8"/>
      <color theme="1"/>
      <name val="メイリオ"/>
      <family val="3"/>
      <charset val="128"/>
    </font>
    <font>
      <sz val="8"/>
      <color rgb="FF555555"/>
      <name val="メイリオ"/>
      <family val="3"/>
      <charset val="128"/>
    </font>
    <font>
      <b/>
      <sz val="7"/>
      <color rgb="FFFFFFFF"/>
      <name val="メイリオ"/>
      <family val="3"/>
      <charset val="128"/>
    </font>
    <font>
      <b/>
      <sz val="12"/>
      <color rgb="FFFFFFFF"/>
      <name val="メイリオ"/>
      <family val="3"/>
      <charset val="128"/>
    </font>
    <font>
      <b/>
      <sz val="9"/>
      <color rgb="FF1A237E"/>
      <name val="メイリオ"/>
      <family val="3"/>
      <charset val="128"/>
    </font>
    <font>
      <sz val="7"/>
      <color rgb="FF555555"/>
      <name val="メイリオ"/>
      <family val="3"/>
      <charset val="128"/>
    </font>
    <font>
      <sz val="8"/>
      <color rgb="FF212121"/>
      <name val="メイリオ"/>
      <family val="3"/>
      <charset val="128"/>
    </font>
    <font>
      <b/>
      <sz val="8"/>
      <color rgb="FFFFFFFF"/>
      <name val="メイリオ"/>
      <family val="3"/>
      <charset val="128"/>
    </font>
    <font>
      <sz val="7"/>
      <color rgb="FF1A237E"/>
      <name val="メイリオ"/>
      <family val="3"/>
      <charset val="128"/>
    </font>
    <font>
      <sz val="9"/>
      <color theme="1"/>
      <name val="メイリオ"/>
      <family val="3"/>
      <charset val="128"/>
    </font>
    <font>
      <b/>
      <sz val="11"/>
      <color rgb="FFBF360C"/>
      <name val="メイリオ"/>
      <family val="3"/>
      <charset val="128"/>
    </font>
    <font>
      <sz val="7"/>
      <color rgb="FF000000"/>
      <name val="メイリオ"/>
      <family val="3"/>
      <charset val="128"/>
    </font>
    <font>
      <sz val="9"/>
      <color rgb="FF795500"/>
      <name val="メイリオ"/>
      <family val="3"/>
      <charset val="128"/>
    </font>
    <font>
      <b/>
      <sz val="9"/>
      <color rgb="FF1B5E20"/>
      <name val="メイリオ"/>
      <family val="3"/>
      <charset val="128"/>
    </font>
    <font>
      <b/>
      <sz val="7"/>
      <color rgb="FF880E4F"/>
      <name val="メイリオ"/>
      <family val="3"/>
      <charset val="128"/>
    </font>
    <font>
      <b/>
      <sz val="9"/>
      <color rgb="FF880E4F"/>
      <name val="メイリオ"/>
      <family val="3"/>
      <charset val="128"/>
    </font>
    <font>
      <sz val="9"/>
      <color rgb="FF1A237E"/>
      <name val="メイリオ"/>
      <family val="3"/>
      <charset val="128"/>
    </font>
  </fonts>
  <fills count="25">
    <fill>
      <patternFill patternType="none"/>
    </fill>
    <fill>
      <patternFill patternType="gray125"/>
    </fill>
    <fill>
      <patternFill patternType="solid">
        <fgColor rgb="FF2F5597"/>
      </patternFill>
    </fill>
    <fill>
      <patternFill patternType="solid">
        <fgColor rgb="FFD6E4F0"/>
      </patternFill>
    </fill>
    <fill>
      <patternFill patternType="solid">
        <fgColor rgb="FFF2F7FB"/>
      </patternFill>
    </fill>
    <fill>
      <patternFill patternType="solid">
        <fgColor rgb="FF1E8449"/>
        <bgColor indexed="64"/>
      </patternFill>
    </fill>
    <fill>
      <patternFill patternType="solid">
        <fgColor rgb="FF2E86AB"/>
        <bgColor indexed="64"/>
      </patternFill>
    </fill>
    <fill>
      <patternFill patternType="solid">
        <fgColor rgb="FFEBF5FB"/>
        <bgColor indexed="64"/>
      </patternFill>
    </fill>
    <fill>
      <patternFill patternType="solid">
        <fgColor rgb="FF2F5597"/>
        <bgColor indexed="64"/>
      </patternFill>
    </fill>
    <fill>
      <patternFill patternType="solid">
        <fgColor rgb="FF546E7A"/>
        <bgColor indexed="64"/>
      </patternFill>
    </fill>
    <fill>
      <patternFill patternType="solid">
        <fgColor rgb="FFDBEAFE"/>
        <bgColor indexed="64"/>
      </patternFill>
    </fill>
    <fill>
      <patternFill patternType="solid">
        <fgColor rgb="FFFEF9C3"/>
        <bgColor indexed="64"/>
      </patternFill>
    </fill>
    <fill>
      <patternFill patternType="solid">
        <fgColor rgb="FFDCFCE7"/>
        <bgColor indexed="64"/>
      </patternFill>
    </fill>
    <fill>
      <patternFill patternType="solid">
        <fgColor rgb="FFFFE4E6"/>
        <bgColor indexed="64"/>
      </patternFill>
    </fill>
    <fill>
      <patternFill patternType="solid">
        <fgColor rgb="FFF3E8FF"/>
        <bgColor indexed="64"/>
      </patternFill>
    </fill>
    <fill>
      <patternFill patternType="solid">
        <fgColor rgb="FFE3F2FD"/>
        <bgColor indexed="64"/>
      </patternFill>
    </fill>
    <fill>
      <patternFill patternType="solid">
        <fgColor rgb="FFBFDBFE"/>
        <bgColor indexed="64"/>
      </patternFill>
    </fill>
    <fill>
      <patternFill patternType="solid">
        <fgColor rgb="FFFFFFFF"/>
        <bgColor indexed="64"/>
      </patternFill>
    </fill>
    <fill>
      <patternFill patternType="solid">
        <fgColor rgb="FF455A64"/>
        <bgColor indexed="64"/>
      </patternFill>
    </fill>
    <fill>
      <patternFill patternType="solid">
        <fgColor rgb="FFECEFF1"/>
        <bgColor indexed="64"/>
      </patternFill>
    </fill>
    <fill>
      <patternFill patternType="solid">
        <fgColor rgb="FFBF360C"/>
        <bgColor indexed="64"/>
      </patternFill>
    </fill>
    <fill>
      <patternFill patternType="solid">
        <fgColor rgb="FFFFF3E0"/>
        <bgColor indexed="64"/>
      </patternFill>
    </fill>
    <fill>
      <patternFill patternType="solid">
        <fgColor rgb="FFF5F5F5"/>
        <bgColor indexed="64"/>
      </patternFill>
    </fill>
    <fill>
      <patternFill patternType="solid">
        <fgColor rgb="FFFFF9C4"/>
        <bgColor indexed="64"/>
      </patternFill>
    </fill>
    <fill>
      <patternFill patternType="solid">
        <fgColor rgb="FFFCE4EC"/>
        <bgColor indexed="64"/>
      </patternFill>
    </fill>
  </fills>
  <borders count="3">
    <border>
      <left/>
      <right/>
      <top/>
      <bottom/>
      <diagonal/>
    </border>
    <border>
      <left style="thin">
        <color rgb="FFBBBBBB"/>
      </left>
      <right style="thin">
        <color rgb="FFBBBBBB"/>
      </right>
      <top style="thin">
        <color rgb="FFBBBBBB"/>
      </top>
      <bottom style="thin">
        <color rgb="FFBBBBBB"/>
      </bottom>
      <diagonal/>
    </border>
    <border>
      <left style="thin">
        <color rgb="FF969696"/>
      </left>
      <right style="thin">
        <color rgb="FF969696"/>
      </right>
      <top style="thin">
        <color rgb="FF969696"/>
      </top>
      <bottom style="thin">
        <color rgb="FF969696"/>
      </bottom>
      <diagonal/>
    </border>
  </borders>
  <cellStyleXfs count="1">
    <xf numFmtId="0" fontId="0" fillId="0" borderId="0"/>
  </cellStyleXfs>
  <cellXfs count="62">
    <xf numFmtId="0" fontId="0" fillId="0" borderId="0" xfId="0"/>
    <xf numFmtId="0" fontId="0" fillId="0" borderId="1" xfId="0" applyBorder="1" applyProtection="1">
      <protection locked="0"/>
    </xf>
    <xf numFmtId="49" fontId="0" fillId="0" borderId="1" xfId="0" applyNumberFormat="1" applyBorder="1" applyProtection="1">
      <protection locked="0"/>
    </xf>
    <xf numFmtId="49" fontId="0" fillId="0" borderId="0" xfId="0" applyNumberFormat="1" applyProtection="1">
      <protection locked="0"/>
    </xf>
    <xf numFmtId="1" fontId="0" fillId="0" borderId="1" xfId="0" applyNumberFormat="1" applyBorder="1" applyProtection="1">
      <protection locked="0"/>
    </xf>
    <xf numFmtId="0" fontId="1" fillId="5" borderId="1" xfId="0" applyFont="1" applyFill="1" applyBorder="1" applyAlignment="1">
      <alignment horizontal="center"/>
    </xf>
    <xf numFmtId="0" fontId="1" fillId="6" borderId="1" xfId="0" applyFont="1" applyFill="1" applyBorder="1" applyAlignment="1">
      <alignment horizontal="center"/>
    </xf>
    <xf numFmtId="49" fontId="8" fillId="7" borderId="1" xfId="0" applyNumberFormat="1" applyFont="1" applyFill="1" applyBorder="1" applyAlignment="1" applyProtection="1">
      <alignment horizontal="center"/>
      <protection locked="0"/>
    </xf>
    <xf numFmtId="0" fontId="10" fillId="0" borderId="2" xfId="0" applyFont="1" applyBorder="1" applyAlignment="1">
      <alignment horizontal="center" vertical="center"/>
    </xf>
    <xf numFmtId="0" fontId="15" fillId="9" borderId="1" xfId="0" applyFont="1" applyFill="1" applyBorder="1" applyAlignment="1">
      <alignment horizontal="center" vertical="center"/>
    </xf>
    <xf numFmtId="0" fontId="15" fillId="18" borderId="1" xfId="0" applyFont="1" applyFill="1" applyBorder="1" applyAlignment="1">
      <alignment horizontal="center" vertical="center"/>
    </xf>
    <xf numFmtId="0" fontId="0" fillId="8" borderId="1" xfId="0" applyFill="1" applyBorder="1"/>
    <xf numFmtId="0" fontId="20" fillId="8" borderId="1" xfId="0" applyFont="1" applyFill="1" applyBorder="1" applyAlignment="1">
      <alignment horizontal="center" vertical="center"/>
    </xf>
    <xf numFmtId="0" fontId="15" fillId="8" borderId="1" xfId="0" applyFont="1" applyFill="1" applyBorder="1" applyAlignment="1">
      <alignment horizontal="center" vertical="center" shrinkToFit="1"/>
    </xf>
    <xf numFmtId="0" fontId="7" fillId="20" borderId="1" xfId="0" applyFont="1" applyFill="1" applyBorder="1" applyAlignment="1">
      <alignment horizontal="center" vertical="center"/>
    </xf>
    <xf numFmtId="0" fontId="21" fillId="15" borderId="1" xfId="0" applyFont="1" applyFill="1" applyBorder="1" applyAlignment="1">
      <alignment horizontal="center" vertical="center" shrinkToFit="1"/>
    </xf>
    <xf numFmtId="0" fontId="22" fillId="15" borderId="1" xfId="0" applyFont="1" applyFill="1" applyBorder="1" applyAlignment="1">
      <alignment horizontal="center" vertical="center"/>
    </xf>
    <xf numFmtId="0" fontId="29" fillId="15" borderId="1" xfId="0" applyFont="1" applyFill="1" applyBorder="1" applyAlignment="1">
      <alignment horizontal="center" vertical="center"/>
    </xf>
    <xf numFmtId="0" fontId="23" fillId="21" borderId="1" xfId="0" applyFont="1" applyFill="1" applyBorder="1" applyAlignment="1">
      <alignment horizontal="center" vertical="center"/>
    </xf>
    <xf numFmtId="0" fontId="26" fillId="17" borderId="1" xfId="0" applyFont="1" applyFill="1" applyBorder="1" applyAlignment="1">
      <alignment horizontal="left" vertical="center"/>
    </xf>
    <xf numFmtId="0" fontId="23" fillId="21" borderId="1" xfId="0" applyFont="1" applyFill="1" applyBorder="1" applyAlignment="1">
      <alignment horizontal="left" vertical="center"/>
    </xf>
    <xf numFmtId="0" fontId="25" fillId="23" borderId="1" xfId="0" applyFont="1" applyFill="1" applyBorder="1" applyAlignment="1">
      <alignment horizontal="right" vertical="center"/>
    </xf>
    <xf numFmtId="0" fontId="23" fillId="21" borderId="1" xfId="0" applyFont="1" applyFill="1" applyBorder="1" applyAlignment="1">
      <alignment horizontal="right" vertical="center"/>
    </xf>
    <xf numFmtId="0" fontId="27" fillId="24" borderId="1" xfId="0" applyFont="1" applyFill="1" applyBorder="1" applyAlignment="1">
      <alignment horizontal="center" vertical="center" shrinkToFit="1"/>
    </xf>
    <xf numFmtId="0" fontId="28" fillId="24" borderId="1" xfId="0" applyFont="1" applyFill="1" applyBorder="1" applyAlignment="1">
      <alignment horizontal="center" vertical="center"/>
    </xf>
    <xf numFmtId="0" fontId="18" fillId="16" borderId="1" xfId="0" applyFont="1" applyFill="1" applyBorder="1" applyAlignment="1" applyProtection="1">
      <alignment horizontal="center" vertical="center"/>
      <protection locked="0"/>
    </xf>
    <xf numFmtId="0" fontId="28" fillId="24"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4" fillId="4" borderId="1" xfId="0" applyFont="1" applyFill="1" applyBorder="1"/>
    <xf numFmtId="0" fontId="3" fillId="0" borderId="0" xfId="0" applyFont="1"/>
    <xf numFmtId="0" fontId="2" fillId="3" borderId="0" xfId="0" applyFont="1" applyFill="1"/>
    <xf numFmtId="49" fontId="4" fillId="4" borderId="1" xfId="0" applyNumberFormat="1" applyFont="1" applyFill="1" applyBorder="1"/>
    <xf numFmtId="0" fontId="7" fillId="5" borderId="0" xfId="0" applyFont="1" applyFill="1" applyAlignment="1">
      <alignment horizontal="left" vertical="center"/>
    </xf>
    <xf numFmtId="0" fontId="0" fillId="0" borderId="0" xfId="0" applyAlignment="1">
      <alignment horizontal="left" vertical="center"/>
    </xf>
    <xf numFmtId="0" fontId="13" fillId="19" borderId="1" xfId="0" applyFont="1" applyFill="1" applyBorder="1" applyAlignment="1" applyProtection="1">
      <alignment horizontal="left" vertical="top" wrapText="1"/>
      <protection locked="0"/>
    </xf>
    <xf numFmtId="0" fontId="24" fillId="22" borderId="1" xfId="0" applyFont="1" applyFill="1" applyBorder="1" applyAlignment="1">
      <alignment horizontal="center" vertical="center" shrinkToFit="1"/>
    </xf>
    <xf numFmtId="0" fontId="0" fillId="0" borderId="1" xfId="0" applyBorder="1" applyAlignment="1">
      <alignment horizontal="center" vertical="center" shrinkToFit="1"/>
    </xf>
    <xf numFmtId="49" fontId="17" fillId="15" borderId="1" xfId="0" applyNumberFormat="1" applyFont="1" applyFill="1" applyBorder="1" applyAlignment="1" applyProtection="1">
      <alignment horizontal="center" vertical="center"/>
      <protection locked="0"/>
    </xf>
    <xf numFmtId="0" fontId="19" fillId="17" borderId="1" xfId="0" applyFont="1" applyFill="1" applyBorder="1" applyAlignment="1" applyProtection="1">
      <alignment horizontal="left" vertical="top" wrapText="1"/>
      <protection locked="0"/>
    </xf>
    <xf numFmtId="0" fontId="16" fillId="9" borderId="1" xfId="0" applyFont="1" applyFill="1" applyBorder="1" applyAlignment="1">
      <alignment horizontal="center" vertical="center"/>
    </xf>
    <xf numFmtId="0" fontId="13" fillId="10" borderId="1" xfId="0" applyFont="1" applyFill="1" applyBorder="1" applyAlignment="1" applyProtection="1">
      <alignment horizontal="left" vertical="top" wrapText="1"/>
      <protection locked="0"/>
    </xf>
    <xf numFmtId="0" fontId="13" fillId="11" borderId="1" xfId="0" applyFont="1" applyFill="1" applyBorder="1" applyAlignment="1" applyProtection="1">
      <alignment horizontal="left" vertical="top" wrapText="1"/>
      <protection locked="0"/>
    </xf>
    <xf numFmtId="0" fontId="13" fillId="12" borderId="1" xfId="0" applyFont="1" applyFill="1" applyBorder="1" applyAlignment="1" applyProtection="1">
      <alignment horizontal="left" vertical="top" wrapText="1"/>
      <protection locked="0"/>
    </xf>
    <xf numFmtId="0" fontId="13" fillId="13" borderId="1" xfId="0" applyFont="1" applyFill="1" applyBorder="1" applyAlignment="1" applyProtection="1">
      <alignment horizontal="left" vertical="top" wrapText="1"/>
      <protection locked="0"/>
    </xf>
    <xf numFmtId="0" fontId="13" fillId="14" borderId="1" xfId="0" applyFont="1" applyFill="1" applyBorder="1" applyAlignment="1" applyProtection="1">
      <alignment horizontal="left" vertical="top" wrapText="1"/>
      <protection locked="0"/>
    </xf>
    <xf numFmtId="0" fontId="12" fillId="12" borderId="1" xfId="0" applyFont="1" applyFill="1" applyBorder="1" applyAlignment="1">
      <alignment horizontal="center" vertical="center"/>
    </xf>
    <xf numFmtId="49" fontId="14" fillId="12" borderId="1" xfId="0" applyNumberFormat="1" applyFont="1" applyFill="1" applyBorder="1" applyAlignment="1" applyProtection="1">
      <alignment horizontal="center" vertical="center"/>
      <protection locked="0"/>
    </xf>
    <xf numFmtId="0" fontId="12" fillId="13" borderId="1" xfId="0" applyFont="1" applyFill="1" applyBorder="1" applyAlignment="1">
      <alignment horizontal="center" vertical="center"/>
    </xf>
    <xf numFmtId="49" fontId="14" fillId="13" borderId="1" xfId="0" applyNumberFormat="1" applyFont="1" applyFill="1" applyBorder="1" applyAlignment="1" applyProtection="1">
      <alignment horizontal="center" vertical="center"/>
      <protection locked="0"/>
    </xf>
    <xf numFmtId="0" fontId="12" fillId="14" borderId="1" xfId="0" applyFont="1" applyFill="1" applyBorder="1" applyAlignment="1">
      <alignment horizontal="center" vertical="center"/>
    </xf>
    <xf numFmtId="49" fontId="14" fillId="14" borderId="1" xfId="0" applyNumberFormat="1" applyFont="1" applyFill="1" applyBorder="1" applyAlignment="1" applyProtection="1">
      <alignment horizontal="center" vertical="center"/>
      <protection locked="0"/>
    </xf>
    <xf numFmtId="0" fontId="9" fillId="8" borderId="0" xfId="0" applyFont="1" applyFill="1" applyAlignment="1">
      <alignment horizontal="center" vertical="center"/>
    </xf>
    <xf numFmtId="0" fontId="0" fillId="0" borderId="0" xfId="0" applyAlignment="1">
      <alignment horizontal="center" vertical="center"/>
    </xf>
    <xf numFmtId="0" fontId="11" fillId="0" borderId="2" xfId="0" applyFont="1" applyBorder="1" applyAlignment="1">
      <alignment horizontal="center" vertical="top"/>
    </xf>
    <xf numFmtId="0" fontId="0" fillId="0" borderId="2" xfId="0" applyBorder="1" applyAlignment="1">
      <alignment horizontal="center" vertical="top"/>
    </xf>
    <xf numFmtId="0" fontId="7" fillId="9" borderId="1" xfId="0" applyFont="1" applyFill="1" applyBorder="1" applyAlignment="1">
      <alignment horizontal="center" vertical="center"/>
    </xf>
    <xf numFmtId="0" fontId="0" fillId="0" borderId="1" xfId="0" applyBorder="1" applyAlignment="1">
      <alignment horizontal="center" vertical="center"/>
    </xf>
    <xf numFmtId="0" fontId="12" fillId="10" borderId="1" xfId="0" applyFont="1" applyFill="1" applyBorder="1" applyAlignment="1">
      <alignment horizontal="center" vertical="center"/>
    </xf>
    <xf numFmtId="49" fontId="14" fillId="10" borderId="1" xfId="0" applyNumberFormat="1" applyFont="1" applyFill="1" applyBorder="1" applyAlignment="1" applyProtection="1">
      <alignment horizontal="center" vertical="center"/>
      <protection locked="0"/>
    </xf>
    <xf numFmtId="0" fontId="12" fillId="11" borderId="1" xfId="0" applyFont="1" applyFill="1" applyBorder="1" applyAlignment="1">
      <alignment horizontal="center" vertical="center"/>
    </xf>
    <xf numFmtId="49" fontId="14" fillId="11" borderId="1" xfId="0" applyNumberFormat="1" applyFont="1" applyFill="1" applyBorder="1" applyAlignment="1" applyProtection="1">
      <alignment horizontal="center" vertical="center"/>
      <protection locked="0"/>
    </xf>
    <xf numFmtId="0" fontId="0" fillId="0" borderId="0" xfId="0" applyProtection="1">
      <protection locked="0"/>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xdr:colOff>
          <xdr:row>33</xdr:row>
          <xdr:rowOff>114300</xdr:rowOff>
        </xdr:from>
        <xdr:to>
          <xdr:col>6</xdr:col>
          <xdr:colOff>441960</xdr:colOff>
          <xdr:row>34</xdr:row>
          <xdr:rowOff>190500</xdr:rowOff>
        </xdr:to>
        <xdr:sp macro="" textlink="">
          <xdr:nvSpPr>
            <xdr:cNvPr id="2049" name="BtnSetup"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設定を完了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1</xdr:row>
          <xdr:rowOff>30480</xdr:rowOff>
        </xdr:from>
        <xdr:to>
          <xdr:col>6</xdr:col>
          <xdr:colOff>388620</xdr:colOff>
          <xdr:row>2</xdr:row>
          <xdr:rowOff>106680</xdr:rowOff>
        </xdr:to>
        <xdr:sp macro="" textlink="">
          <xdr:nvSpPr>
            <xdr:cNvPr id="2127" name="Auto_0" hidden="1">
              <a:extLst>
                <a:ext uri="{63B3BB69-23CF-44E3-9099-C40C66FF867C}">
                  <a14:compatExt spid="_x0000_s2127"/>
                </a:ext>
                <a:ext uri="{FF2B5EF4-FFF2-40B4-BE49-F238E27FC236}">
                  <a16:creationId xmlns:a16="http://schemas.microsoft.com/office/drawing/2014/main" id="{955BB0C0-D463-EBEB-8796-29B8D075DB9C}"/>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3</xdr:row>
          <xdr:rowOff>38100</xdr:rowOff>
        </xdr:from>
        <xdr:to>
          <xdr:col>6</xdr:col>
          <xdr:colOff>388620</xdr:colOff>
          <xdr:row>4</xdr:row>
          <xdr:rowOff>152400</xdr:rowOff>
        </xdr:to>
        <xdr:sp macro="" textlink="">
          <xdr:nvSpPr>
            <xdr:cNvPr id="2128" name="Auto_1" hidden="1">
              <a:extLst>
                <a:ext uri="{63B3BB69-23CF-44E3-9099-C40C66FF867C}">
                  <a14:compatExt spid="_x0000_s2128"/>
                </a:ext>
                <a:ext uri="{FF2B5EF4-FFF2-40B4-BE49-F238E27FC236}">
                  <a16:creationId xmlns:a16="http://schemas.microsoft.com/office/drawing/2014/main" id="{1995DC65-9982-2BD7-143B-A2A93E85C4D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1学期PDF出力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5</xdr:row>
          <xdr:rowOff>38100</xdr:rowOff>
        </xdr:from>
        <xdr:to>
          <xdr:col>6</xdr:col>
          <xdr:colOff>388620</xdr:colOff>
          <xdr:row>6</xdr:row>
          <xdr:rowOff>106680</xdr:rowOff>
        </xdr:to>
        <xdr:sp macro="" textlink="">
          <xdr:nvSpPr>
            <xdr:cNvPr id="2129" name="Auto_2" hidden="1">
              <a:extLst>
                <a:ext uri="{63B3BB69-23CF-44E3-9099-C40C66FF867C}">
                  <a14:compatExt spid="_x0000_s2129"/>
                </a:ext>
                <a:ext uri="{FF2B5EF4-FFF2-40B4-BE49-F238E27FC236}">
                  <a16:creationId xmlns:a16="http://schemas.microsoft.com/office/drawing/2014/main" id="{B0B37B8A-C3A7-56FC-F839-0CEB7962EF4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2学期PDF出力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7</xdr:row>
          <xdr:rowOff>30480</xdr:rowOff>
        </xdr:from>
        <xdr:to>
          <xdr:col>6</xdr:col>
          <xdr:colOff>388620</xdr:colOff>
          <xdr:row>8</xdr:row>
          <xdr:rowOff>106680</xdr:rowOff>
        </xdr:to>
        <xdr:sp macro="" textlink="">
          <xdr:nvSpPr>
            <xdr:cNvPr id="2130" name="Auto_3" hidden="1">
              <a:extLst>
                <a:ext uri="{63B3BB69-23CF-44E3-9099-C40C66FF867C}">
                  <a14:compatExt spid="_x0000_s2130"/>
                </a:ext>
                <a:ext uri="{FF2B5EF4-FFF2-40B4-BE49-F238E27FC236}">
                  <a16:creationId xmlns:a16="http://schemas.microsoft.com/office/drawing/2014/main" id="{882C0E4D-68F2-2681-4DF1-442E833E0D8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3学期PDF出力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9</xdr:row>
          <xdr:rowOff>38100</xdr:rowOff>
        </xdr:from>
        <xdr:to>
          <xdr:col>6</xdr:col>
          <xdr:colOff>388620</xdr:colOff>
          <xdr:row>10</xdr:row>
          <xdr:rowOff>114300</xdr:rowOff>
        </xdr:to>
        <xdr:sp macro="" textlink="">
          <xdr:nvSpPr>
            <xdr:cNvPr id="2131" name="Auto_4" hidden="1">
              <a:extLst>
                <a:ext uri="{63B3BB69-23CF-44E3-9099-C40C66FF867C}">
                  <a14:compatExt spid="_x0000_s2131"/>
                </a:ext>
                <a:ext uri="{FF2B5EF4-FFF2-40B4-BE49-F238E27FC236}">
                  <a16:creationId xmlns:a16="http://schemas.microsoft.com/office/drawing/2014/main" id="{5241EC90-4ECE-63F5-C593-5FEBB2F6540F}"/>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次年度ファイルを作成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11</xdr:row>
          <xdr:rowOff>30480</xdr:rowOff>
        </xdr:from>
        <xdr:to>
          <xdr:col>6</xdr:col>
          <xdr:colOff>388620</xdr:colOff>
          <xdr:row>12</xdr:row>
          <xdr:rowOff>106680</xdr:rowOff>
        </xdr:to>
        <xdr:sp macro="" textlink="">
          <xdr:nvSpPr>
            <xdr:cNvPr id="2132" name="Auto_5" hidden="1">
              <a:extLst>
                <a:ext uri="{63B3BB69-23CF-44E3-9099-C40C66FF867C}">
                  <a14:compatExt spid="_x0000_s2132"/>
                </a:ext>
                <a:ext uri="{FF2B5EF4-FFF2-40B4-BE49-F238E27FC236}">
                  <a16:creationId xmlns:a16="http://schemas.microsoft.com/office/drawing/2014/main" id="{3C911C0D-5EE9-10B4-66D2-ADB1494E7C8A}"/>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別ファイルからインポート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13</xdr:row>
          <xdr:rowOff>38100</xdr:rowOff>
        </xdr:from>
        <xdr:to>
          <xdr:col>6</xdr:col>
          <xdr:colOff>388620</xdr:colOff>
          <xdr:row>14</xdr:row>
          <xdr:rowOff>152400</xdr:rowOff>
        </xdr:to>
        <xdr:sp macro="" textlink="">
          <xdr:nvSpPr>
            <xdr:cNvPr id="2133" name="Auto_6" hidden="1">
              <a:extLst>
                <a:ext uri="{63B3BB69-23CF-44E3-9099-C40C66FF867C}">
                  <a14:compatExt spid="_x0000_s2133"/>
                </a:ext>
                <a:ext uri="{FF2B5EF4-FFF2-40B4-BE49-F238E27FC236}">
                  <a16:creationId xmlns:a16="http://schemas.microsoft.com/office/drawing/2014/main" id="{555E3F47-DE53-40F6-D13F-09D28528A59B}"/>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全データ消去</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3"/>
  <sheetViews>
    <sheetView tabSelected="1" workbookViewId="0">
      <selection activeCell="B4" sqref="B4"/>
    </sheetView>
  </sheetViews>
  <sheetFormatPr defaultColWidth="8.77734375" defaultRowHeight="13.2" x14ac:dyDescent="0.2"/>
  <cols>
    <col min="1" max="1" width="18" customWidth="1"/>
    <col min="2" max="2" width="12" customWidth="1"/>
    <col min="3" max="3" width="28" customWidth="1"/>
  </cols>
  <sheetData>
    <row r="1" spans="1:3" ht="16.2" x14ac:dyDescent="0.2">
      <c r="A1" s="27" t="s">
        <v>0</v>
      </c>
      <c r="B1" s="27" t="s">
        <v>1</v>
      </c>
      <c r="C1" s="27" t="s">
        <v>2</v>
      </c>
    </row>
    <row r="2" spans="1:3" ht="16.2" x14ac:dyDescent="0.45">
      <c r="A2" s="28" t="s">
        <v>3</v>
      </c>
      <c r="B2" s="1"/>
      <c r="C2" s="29" t="s">
        <v>4</v>
      </c>
    </row>
    <row r="3" spans="1:3" ht="16.2" x14ac:dyDescent="0.45">
      <c r="A3" s="28" t="s">
        <v>5</v>
      </c>
      <c r="B3" s="1"/>
      <c r="C3" s="29" t="s">
        <v>6</v>
      </c>
    </row>
    <row r="4" spans="1:3" x14ac:dyDescent="0.2">
      <c r="A4" t="s">
        <v>55</v>
      </c>
      <c r="B4" s="61" t="s">
        <v>54</v>
      </c>
    </row>
    <row r="5" spans="1:3" ht="16.2" x14ac:dyDescent="0.45">
      <c r="A5" s="30" t="s">
        <v>7</v>
      </c>
    </row>
    <row r="6" spans="1:3" ht="16.2" x14ac:dyDescent="0.45">
      <c r="A6" s="28" t="s">
        <v>8</v>
      </c>
      <c r="B6" s="2"/>
    </row>
    <row r="7" spans="1:3" ht="16.2" x14ac:dyDescent="0.45">
      <c r="A7" s="28" t="s">
        <v>9</v>
      </c>
      <c r="B7" s="2"/>
    </row>
    <row r="8" spans="1:3" ht="16.2" x14ac:dyDescent="0.45">
      <c r="A8" s="28" t="s">
        <v>10</v>
      </c>
      <c r="B8" s="2"/>
    </row>
    <row r="9" spans="1:3" ht="16.2" x14ac:dyDescent="0.45">
      <c r="A9" s="28" t="s">
        <v>11</v>
      </c>
      <c r="B9" s="2"/>
    </row>
    <row r="10" spans="1:3" ht="16.2" x14ac:dyDescent="0.45">
      <c r="A10" s="28" t="s">
        <v>12</v>
      </c>
      <c r="B10" s="2"/>
    </row>
    <row r="11" spans="1:3" ht="16.2" x14ac:dyDescent="0.45">
      <c r="A11" s="28" t="s">
        <v>13</v>
      </c>
      <c r="B11" s="3"/>
    </row>
    <row r="12" spans="1:3" ht="16.2" x14ac:dyDescent="0.45">
      <c r="A12" s="28" t="s">
        <v>14</v>
      </c>
      <c r="B12" s="3"/>
    </row>
    <row r="13" spans="1:3" ht="16.2" x14ac:dyDescent="0.45">
      <c r="A13" s="28" t="s">
        <v>15</v>
      </c>
      <c r="B13" s="3"/>
    </row>
    <row r="14" spans="1:3" x14ac:dyDescent="0.2">
      <c r="B14" s="3"/>
    </row>
    <row r="15" spans="1:3" ht="16.2" x14ac:dyDescent="0.45">
      <c r="A15" s="30" t="s">
        <v>16</v>
      </c>
    </row>
    <row r="16" spans="1:3" ht="16.2" x14ac:dyDescent="0.45">
      <c r="A16" s="28" t="s">
        <v>17</v>
      </c>
      <c r="B16" s="2"/>
      <c r="C16" s="29"/>
    </row>
    <row r="17" spans="1:3" ht="16.2" x14ac:dyDescent="0.45">
      <c r="A17" s="28" t="s">
        <v>18</v>
      </c>
      <c r="B17" s="2"/>
    </row>
    <row r="18" spans="1:3" ht="16.2" x14ac:dyDescent="0.45">
      <c r="A18" s="28" t="s">
        <v>19</v>
      </c>
      <c r="B18" s="2"/>
    </row>
    <row r="19" spans="1:3" ht="16.2" x14ac:dyDescent="0.45">
      <c r="A19" s="28" t="s">
        <v>21</v>
      </c>
      <c r="B19" s="3"/>
    </row>
    <row r="20" spans="1:3" ht="16.2" x14ac:dyDescent="0.45">
      <c r="A20" s="28" t="s">
        <v>23</v>
      </c>
      <c r="B20" s="3"/>
    </row>
    <row r="22" spans="1:3" ht="16.2" x14ac:dyDescent="0.45">
      <c r="A22" s="30" t="s">
        <v>24</v>
      </c>
      <c r="C22" s="29" t="s">
        <v>25</v>
      </c>
    </row>
    <row r="23" spans="1:3" ht="16.2" x14ac:dyDescent="0.45">
      <c r="A23" s="31" t="str">
        <f t="shared" ref="A23:A30" si="0">IF(B6="","",B6)</f>
        <v/>
      </c>
      <c r="B23" s="4"/>
    </row>
    <row r="24" spans="1:3" ht="16.2" x14ac:dyDescent="0.45">
      <c r="A24" s="31" t="str">
        <f t="shared" si="0"/>
        <v/>
      </c>
      <c r="B24" s="4"/>
    </row>
    <row r="25" spans="1:3" ht="16.2" x14ac:dyDescent="0.45">
      <c r="A25" s="31" t="str">
        <f t="shared" si="0"/>
        <v/>
      </c>
      <c r="B25" s="4"/>
    </row>
    <row r="26" spans="1:3" ht="16.2" x14ac:dyDescent="0.45">
      <c r="A26" s="31" t="str">
        <f t="shared" si="0"/>
        <v/>
      </c>
      <c r="B26" s="4"/>
    </row>
    <row r="27" spans="1:3" ht="16.2" x14ac:dyDescent="0.45">
      <c r="A27" s="31" t="str">
        <f t="shared" si="0"/>
        <v/>
      </c>
      <c r="B27" s="4"/>
    </row>
    <row r="28" spans="1:3" ht="16.2" x14ac:dyDescent="0.45">
      <c r="A28" s="31" t="str">
        <f t="shared" si="0"/>
        <v/>
      </c>
      <c r="B28" s="4"/>
      <c r="C28" s="29"/>
    </row>
    <row r="29" spans="1:3" ht="16.2" x14ac:dyDescent="0.45">
      <c r="A29" s="31" t="str">
        <f t="shared" si="0"/>
        <v/>
      </c>
      <c r="B29" s="4"/>
    </row>
    <row r="30" spans="1:3" ht="16.2" x14ac:dyDescent="0.45">
      <c r="A30" s="31" t="str">
        <f t="shared" si="0"/>
        <v/>
      </c>
      <c r="B30" s="4"/>
    </row>
    <row r="31" spans="1:3" ht="16.2" x14ac:dyDescent="0.45">
      <c r="A31" s="31" t="str">
        <f>IF(B16="","",B16)</f>
        <v/>
      </c>
      <c r="B31" s="4"/>
    </row>
    <row r="32" spans="1:3" ht="16.2" x14ac:dyDescent="0.45">
      <c r="A32" s="31" t="str">
        <f>IF(B17="","",B17)</f>
        <v/>
      </c>
      <c r="B32" s="4"/>
    </row>
    <row r="33" spans="1:3" ht="16.2" x14ac:dyDescent="0.45">
      <c r="A33" s="31" t="str">
        <f>IF(B18="","",B18)</f>
        <v/>
      </c>
      <c r="B33" s="4"/>
    </row>
    <row r="34" spans="1:3" ht="16.2" x14ac:dyDescent="0.45">
      <c r="A34" s="31" t="str">
        <f>IF(B19="","",B19)</f>
        <v/>
      </c>
      <c r="B34" s="4"/>
    </row>
    <row r="35" spans="1:3" ht="16.2" x14ac:dyDescent="0.45">
      <c r="A35" s="31" t="str">
        <f>IF(B20="","",B20)</f>
        <v/>
      </c>
      <c r="B35" s="4"/>
      <c r="C35" s="29" t="s">
        <v>26</v>
      </c>
    </row>
    <row r="37" spans="1:3" ht="16.2" x14ac:dyDescent="0.45">
      <c r="A37" s="30" t="s">
        <v>56</v>
      </c>
    </row>
    <row r="38" spans="1:3" ht="16.2" x14ac:dyDescent="0.45">
      <c r="A38" s="28" t="s">
        <v>57</v>
      </c>
      <c r="B38" s="2"/>
    </row>
    <row r="39" spans="1:3" ht="16.2" x14ac:dyDescent="0.45">
      <c r="A39" s="28" t="s">
        <v>58</v>
      </c>
      <c r="B39" s="2"/>
    </row>
    <row r="40" spans="1:3" ht="16.2" x14ac:dyDescent="0.45">
      <c r="A40" s="28" t="s">
        <v>59</v>
      </c>
      <c r="B40" s="2"/>
    </row>
    <row r="41" spans="1:3" ht="16.2" x14ac:dyDescent="0.45">
      <c r="A41" s="28" t="s">
        <v>60</v>
      </c>
      <c r="B41" s="2"/>
    </row>
    <row r="42" spans="1:3" ht="16.2" x14ac:dyDescent="0.45">
      <c r="A42" s="28" t="s">
        <v>61</v>
      </c>
      <c r="B42" s="2"/>
    </row>
    <row r="43" spans="1:3" ht="16.2" x14ac:dyDescent="0.45">
      <c r="A43" s="28" t="s">
        <v>62</v>
      </c>
      <c r="B43" s="2"/>
    </row>
  </sheetData>
  <sheetProtection sheet="1" objects="1" scenarios="1"/>
  <phoneticPr fontId="5"/>
  <dataValidations count="7">
    <dataValidation allowBlank="1" showInputMessage="1" showErrorMessage="1" promptTitle="入力例" prompt="「月/日」の形式で入力してください。_x000a_例: 7/18" sqref="B38" xr:uid="{2FCCC057-D6AF-4EC8-84B2-8D4606865B62}"/>
    <dataValidation allowBlank="1" showInputMessage="1" showErrorMessage="1" promptTitle="入力例" prompt="「月/日」の形式で入力してください。_x000a_例: 8/31" sqref="B39" xr:uid="{01BBB871-CF49-4E02-B972-BAE6B213482F}"/>
    <dataValidation allowBlank="1" showInputMessage="1" showErrorMessage="1" promptTitle="入力例" prompt="「月/日」の形式で入力してください。_x000a_例: 12/25" sqref="B40" xr:uid="{BCD14E43-2EA5-49A2-B1D6-99E23A4AC9B8}"/>
    <dataValidation allowBlank="1" showInputMessage="1" showErrorMessage="1" promptTitle="入力例" prompt="「月/日」の形式で入力してください。_x000a_例: 1/6" sqref="B41" xr:uid="{82816D7C-98CC-42AB-973D-354F43FC6CC5}"/>
    <dataValidation allowBlank="1" showInputMessage="1" showErrorMessage="1" promptTitle="入力例" prompt="「月/日」の形式で入力してください。_x000a_例: 3/25" sqref="B42" xr:uid="{2E7C5B84-7F5E-4DD7-BEBB-1A4FF44321CD}"/>
    <dataValidation allowBlank="1" showInputMessage="1" showErrorMessage="1" promptTitle="入力例" prompt="「月/日」の形式で入力してください。_x000a_例: 4/6" sqref="B43" xr:uid="{82155DCA-3CE0-4041-8268-53B5AF19B8FD}"/>
    <dataValidation type="list" allowBlank="1" showInputMessage="1" sqref="B4" xr:uid="{D8B31B07-44BD-40FE-8CFA-4D8B31F46152}">
      <formula1>"特活に含める,学活で独立"</formula1>
    </dataValidation>
  </dataValidation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49" r:id="rId3" name="BtnSetup">
              <controlPr defaultSize="0" print="0" autoFill="0" autoPict="0" macro="[0]!ボタン_設定完了">
                <anchor moveWithCells="1" sizeWithCells="1">
                  <from>
                    <xdr:col>4</xdr:col>
                    <xdr:colOff>99060</xdr:colOff>
                    <xdr:row>33</xdr:row>
                    <xdr:rowOff>114300</xdr:rowOff>
                  </from>
                  <to>
                    <xdr:col>6</xdr:col>
                    <xdr:colOff>441960</xdr:colOff>
                    <xdr:row>34</xdr:row>
                    <xdr:rowOff>190500</xdr:rowOff>
                  </to>
                </anchor>
              </controlPr>
            </control>
          </mc:Choice>
        </mc:AlternateContent>
        <mc:AlternateContent xmlns:mc="http://schemas.openxmlformats.org/markup-compatibility/2006">
          <mc:Choice Requires="x14">
            <control shapeId="2127" r:id="rId4" name="Auto_0">
              <controlPr defaultSize="0" print="0" autoFill="0" autoPict="0" macro="[0]!ボタン_新しい週">
                <anchor moveWithCells="1" sizeWithCells="1">
                  <from>
                    <xdr:col>4</xdr:col>
                    <xdr:colOff>68580</xdr:colOff>
                    <xdr:row>1</xdr:row>
                    <xdr:rowOff>30480</xdr:rowOff>
                  </from>
                  <to>
                    <xdr:col>6</xdr:col>
                    <xdr:colOff>388620</xdr:colOff>
                    <xdr:row>2</xdr:row>
                    <xdr:rowOff>106680</xdr:rowOff>
                  </to>
                </anchor>
              </controlPr>
            </control>
          </mc:Choice>
        </mc:AlternateContent>
        <mc:AlternateContent xmlns:mc="http://schemas.openxmlformats.org/markup-compatibility/2006">
          <mc:Choice Requires="x14">
            <control shapeId="2128" r:id="rId5" name="Auto_1">
              <controlPr defaultSize="0" print="0" autoFill="0" autoPict="0" macro="[0]!ボタン_1学期PDF">
                <anchor moveWithCells="1" sizeWithCells="1">
                  <from>
                    <xdr:col>4</xdr:col>
                    <xdr:colOff>68580</xdr:colOff>
                    <xdr:row>3</xdr:row>
                    <xdr:rowOff>38100</xdr:rowOff>
                  </from>
                  <to>
                    <xdr:col>6</xdr:col>
                    <xdr:colOff>388620</xdr:colOff>
                    <xdr:row>4</xdr:row>
                    <xdr:rowOff>152400</xdr:rowOff>
                  </to>
                </anchor>
              </controlPr>
            </control>
          </mc:Choice>
        </mc:AlternateContent>
        <mc:AlternateContent xmlns:mc="http://schemas.openxmlformats.org/markup-compatibility/2006">
          <mc:Choice Requires="x14">
            <control shapeId="2129" r:id="rId6" name="Auto_2">
              <controlPr defaultSize="0" print="0" autoFill="0" autoPict="0" macro="[0]!ボタン_2学期PDF">
                <anchor moveWithCells="1" sizeWithCells="1">
                  <from>
                    <xdr:col>4</xdr:col>
                    <xdr:colOff>68580</xdr:colOff>
                    <xdr:row>5</xdr:row>
                    <xdr:rowOff>38100</xdr:rowOff>
                  </from>
                  <to>
                    <xdr:col>6</xdr:col>
                    <xdr:colOff>388620</xdr:colOff>
                    <xdr:row>6</xdr:row>
                    <xdr:rowOff>106680</xdr:rowOff>
                  </to>
                </anchor>
              </controlPr>
            </control>
          </mc:Choice>
        </mc:AlternateContent>
        <mc:AlternateContent xmlns:mc="http://schemas.openxmlformats.org/markup-compatibility/2006">
          <mc:Choice Requires="x14">
            <control shapeId="2130" r:id="rId7" name="Auto_3">
              <controlPr defaultSize="0" print="0" autoFill="0" autoPict="0" macro="[0]!ボタン_3学期PDF">
                <anchor moveWithCells="1" sizeWithCells="1">
                  <from>
                    <xdr:col>4</xdr:col>
                    <xdr:colOff>68580</xdr:colOff>
                    <xdr:row>7</xdr:row>
                    <xdr:rowOff>30480</xdr:rowOff>
                  </from>
                  <to>
                    <xdr:col>6</xdr:col>
                    <xdr:colOff>388620</xdr:colOff>
                    <xdr:row>8</xdr:row>
                    <xdr:rowOff>106680</xdr:rowOff>
                  </to>
                </anchor>
              </controlPr>
            </control>
          </mc:Choice>
        </mc:AlternateContent>
        <mc:AlternateContent xmlns:mc="http://schemas.openxmlformats.org/markup-compatibility/2006">
          <mc:Choice Requires="x14">
            <control shapeId="2131" r:id="rId8" name="Auto_4">
              <controlPr defaultSize="0" print="0" autoFill="0" autoPict="0" macro="[0]!ボタン_次年度">
                <anchor moveWithCells="1" sizeWithCells="1">
                  <from>
                    <xdr:col>4</xdr:col>
                    <xdr:colOff>68580</xdr:colOff>
                    <xdr:row>9</xdr:row>
                    <xdr:rowOff>38100</xdr:rowOff>
                  </from>
                  <to>
                    <xdr:col>6</xdr:col>
                    <xdr:colOff>388620</xdr:colOff>
                    <xdr:row>10</xdr:row>
                    <xdr:rowOff>114300</xdr:rowOff>
                  </to>
                </anchor>
              </controlPr>
            </control>
          </mc:Choice>
        </mc:AlternateContent>
        <mc:AlternateContent xmlns:mc="http://schemas.openxmlformats.org/markup-compatibility/2006">
          <mc:Choice Requires="x14">
            <control shapeId="2132" r:id="rId9" name="Auto_5">
              <controlPr defaultSize="0" print="0" autoFill="0" autoPict="0" macro="[0]!ボタン_旧ファイル移行">
                <anchor moveWithCells="1" sizeWithCells="1">
                  <from>
                    <xdr:col>4</xdr:col>
                    <xdr:colOff>68580</xdr:colOff>
                    <xdr:row>11</xdr:row>
                    <xdr:rowOff>30480</xdr:rowOff>
                  </from>
                  <to>
                    <xdr:col>6</xdr:col>
                    <xdr:colOff>388620</xdr:colOff>
                    <xdr:row>12</xdr:row>
                    <xdr:rowOff>106680</xdr:rowOff>
                  </to>
                </anchor>
              </controlPr>
            </control>
          </mc:Choice>
        </mc:AlternateContent>
        <mc:AlternateContent xmlns:mc="http://schemas.openxmlformats.org/markup-compatibility/2006">
          <mc:Choice Requires="x14">
            <control shapeId="2133" r:id="rId10" name="Auto_6">
              <controlPr defaultSize="0" print="0" autoFill="0" autoPict="0" macro="[0]!ボタン_全データ消去">
                <anchor moveWithCells="1" sizeWithCells="1">
                  <from>
                    <xdr:col>4</xdr:col>
                    <xdr:colOff>68580</xdr:colOff>
                    <xdr:row>13</xdr:row>
                    <xdr:rowOff>38100</xdr:rowOff>
                  </from>
                  <to>
                    <xdr:col>6</xdr:col>
                    <xdr:colOff>388620</xdr:colOff>
                    <xdr:row>14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9D483-9144-4B6A-8301-12526A8D9CC6}">
  <sheetPr codeName="Sheet2">
    <tabColor rgb="FF1E8449"/>
  </sheetPr>
  <dimension ref="A1:F9"/>
  <sheetViews>
    <sheetView workbookViewId="0">
      <selection activeCell="F16" sqref="F16"/>
    </sheetView>
  </sheetViews>
  <sheetFormatPr defaultColWidth="8.77734375" defaultRowHeight="13.2" x14ac:dyDescent="0.2"/>
  <cols>
    <col min="1" max="1" width="6.6640625" customWidth="1"/>
    <col min="2" max="6" width="10.6640625" customWidth="1"/>
  </cols>
  <sheetData>
    <row r="1" spans="1:6" ht="18" customHeight="1" x14ac:dyDescent="0.2">
      <c r="A1" s="32" t="s">
        <v>27</v>
      </c>
      <c r="B1" s="33"/>
      <c r="C1" s="33"/>
      <c r="D1" s="33"/>
      <c r="E1" s="33"/>
      <c r="F1" s="33"/>
    </row>
    <row r="2" spans="1:6" ht="20.100000000000001" customHeight="1" x14ac:dyDescent="0.45">
      <c r="A2" s="5" t="s">
        <v>28</v>
      </c>
      <c r="B2" s="5" t="s">
        <v>29</v>
      </c>
      <c r="C2" s="5" t="s">
        <v>30</v>
      </c>
      <c r="D2" s="5" t="s">
        <v>31</v>
      </c>
      <c r="E2" s="5" t="s">
        <v>32</v>
      </c>
      <c r="F2" s="5" t="s">
        <v>33</v>
      </c>
    </row>
    <row r="3" spans="1:6" ht="21.9" customHeight="1" x14ac:dyDescent="0.45">
      <c r="A3" s="6">
        <v>1</v>
      </c>
      <c r="B3" s="7"/>
      <c r="C3" s="7"/>
      <c r="D3" s="7"/>
      <c r="E3" s="7"/>
      <c r="F3" s="7"/>
    </row>
    <row r="4" spans="1:6" ht="21.9" customHeight="1" x14ac:dyDescent="0.45">
      <c r="A4" s="6">
        <v>2</v>
      </c>
      <c r="B4" s="7"/>
      <c r="C4" s="7"/>
      <c r="D4" s="7"/>
      <c r="E4" s="7"/>
      <c r="F4" s="7"/>
    </row>
    <row r="5" spans="1:6" ht="21.9" customHeight="1" x14ac:dyDescent="0.45">
      <c r="A5" s="6">
        <v>3</v>
      </c>
      <c r="B5" s="7"/>
      <c r="C5" s="7"/>
      <c r="D5" s="7"/>
      <c r="E5" s="7"/>
      <c r="F5" s="7"/>
    </row>
    <row r="6" spans="1:6" ht="21.9" customHeight="1" x14ac:dyDescent="0.45">
      <c r="A6" s="6">
        <v>4</v>
      </c>
      <c r="B6" s="7"/>
      <c r="C6" s="7"/>
      <c r="D6" s="7"/>
      <c r="E6" s="7"/>
      <c r="F6" s="7"/>
    </row>
    <row r="7" spans="1:6" ht="21.9" customHeight="1" x14ac:dyDescent="0.45">
      <c r="A7" s="6">
        <v>5</v>
      </c>
      <c r="B7" s="7"/>
      <c r="C7" s="7"/>
      <c r="D7" s="7"/>
      <c r="E7" s="7"/>
      <c r="F7" s="7"/>
    </row>
    <row r="8" spans="1:6" ht="21.9" customHeight="1" x14ac:dyDescent="0.45">
      <c r="A8" s="6">
        <v>6</v>
      </c>
      <c r="B8" s="7"/>
      <c r="C8" s="7"/>
      <c r="D8" s="7"/>
      <c r="E8" s="7"/>
      <c r="F8" s="7"/>
    </row>
    <row r="9" spans="1:6" ht="21.9" customHeight="1" x14ac:dyDescent="0.45">
      <c r="A9" s="6">
        <v>7</v>
      </c>
      <c r="B9" s="7"/>
      <c r="C9" s="7"/>
      <c r="D9" s="7"/>
      <c r="E9" s="7"/>
      <c r="F9" s="7"/>
    </row>
  </sheetData>
  <sheetProtection sheet="1" objects="1" scenarios="1"/>
  <mergeCells count="1">
    <mergeCell ref="A1:F1"/>
  </mergeCells>
  <phoneticPr fontId="5"/>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xr:uid="{78DC33C7-AC46-44E2-9417-B3E6014DF859}">
          <x14:formula1>
            <xm:f>基本設定!$B$6:$B$20</xm:f>
          </x14:formula1>
          <xm:sqref>B3:F9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9E4B6-B911-4573-B9ED-E73FCE22F7A6}">
  <sheetPr codeName="Sheet3">
    <tabColor rgb="FFC0392B"/>
    <pageSetUpPr fitToPage="1"/>
  </sheetPr>
  <dimension ref="A1:P25"/>
  <sheetViews>
    <sheetView workbookViewId="0">
      <selection sqref="A1:G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t="str">
        <f>IF(基本設定!B6="","",基本設定!B6)</f>
        <v/>
      </c>
      <c r="C21" s="12" t="str">
        <f>IF(基本設定!B7="","",基本設定!B7)</f>
        <v/>
      </c>
      <c r="D21" s="12" t="str">
        <f>IF(基本設定!B8="","",基本設定!B8)</f>
        <v/>
      </c>
      <c r="E21" s="12" t="str">
        <f>IF(基本設定!B9="","",基本設定!B9)</f>
        <v/>
      </c>
      <c r="F21" s="12" t="str">
        <f>IF(基本設定!B10="","",基本設定!B10)</f>
        <v/>
      </c>
      <c r="G21" s="12" t="str">
        <f>IF(基本設定!B11="","",基本設定!B11)</f>
        <v/>
      </c>
      <c r="H21" s="12"/>
      <c r="I21" s="12"/>
      <c r="J21" s="12"/>
      <c r="K21" s="12"/>
      <c r="L21" s="12"/>
      <c r="M21" s="13" t="s">
        <v>53</v>
      </c>
      <c r="N21" s="12" t="s">
        <v>20</v>
      </c>
      <c r="O21" s="12" t="s">
        <v>22</v>
      </c>
      <c r="P21" s="14" t="s">
        <v>49</v>
      </c>
    </row>
    <row r="22" spans="1:16" ht="13.5" customHeight="1" x14ac:dyDescent="0.2">
      <c r="A22" s="15" t="s">
        <v>50</v>
      </c>
      <c r="B22" s="16" t="str">
        <f>IF(B21="","",IFERROR(VALUE(VLOOKUP(B21,基本設定!$A$23:$B$35,2,FALSE())),""))</f>
        <v/>
      </c>
      <c r="C22" s="16" t="str">
        <f>IF(C21="","",IFERROR(VALUE(VLOOKUP(C21,基本設定!$A$23:$B$35,2,FALSE())),""))</f>
        <v/>
      </c>
      <c r="D22" s="16" t="str">
        <f>IF(D21="","",IFERROR(VALUE(VLOOKUP(D21,基本設定!$A$23:$B$35,2,FALSE())),""))</f>
        <v/>
      </c>
      <c r="E22" s="16" t="str">
        <f>IF(E21="","",IFERROR(VALUE(VLOOKUP(E21,基本設定!$A$23:$B$35,2,FALSE())),""))</f>
        <v/>
      </c>
      <c r="F22" s="16" t="str">
        <f>IF(F21="","",IFERROR(VALUE(VLOOKUP(F21,基本設定!$A$23:$B$35,2,FALSE())),""))</f>
        <v/>
      </c>
      <c r="G22" s="16" t="str">
        <f>IF(G21="","",IFERROR(VALUE(VLOOKUP(G21,基本設定!$A$23:$B$35,2,FALSE())),""))</f>
        <v/>
      </c>
      <c r="H22" s="17"/>
      <c r="I22" s="17"/>
      <c r="J22" s="17"/>
      <c r="K22" s="17"/>
      <c r="L22" s="17"/>
      <c r="M22" s="17">
        <v>1</v>
      </c>
      <c r="N22" s="17" t="str">
        <f>IF(N21="","",IFERROR(VALUE(VLOOKUP(N21,基本設定!$A$23:$B$35,2,FALSE())),""))</f>
        <v/>
      </c>
      <c r="O22" s="17" t="str">
        <f>IF(O21="","",IFERROR(VALUE(VLOOKUP(O21,基本設定!$A$23:$B$35,2,FALSE())),""))</f>
        <v/>
      </c>
      <c r="P22" s="18">
        <f>IF(SUM(B22:O22)=0,"",SUM(B22:O22))</f>
        <v>1</v>
      </c>
    </row>
    <row r="23" spans="1:16" ht="13.5" customHeight="1" x14ac:dyDescent="0.2">
      <c r="A23" s="35" t="s">
        <v>51</v>
      </c>
      <c r="B23" s="19" t="str">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t="str">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t="str">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t="str">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t="str">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t="str">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t="str">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t="str">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t="str">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t="str">
        <f>IF(SUM(B23:O23)=0,"",SUM(B23:O23))</f>
        <v/>
      </c>
    </row>
    <row r="24" spans="1:16" ht="13.5" customHeight="1" x14ac:dyDescent="0.2">
      <c r="A24" s="36"/>
      <c r="B24" s="21" t="str">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t="str">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t="str">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t="str">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t="str">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t="str">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t="str">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t="str">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t="str">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t="str">
        <f>IF(SUM(B24:O24)=0,"",SUM(B24:O24))</f>
        <v/>
      </c>
    </row>
    <row r="25" spans="1:16" ht="13.5" customHeight="1" x14ac:dyDescent="0.2">
      <c r="A25" s="23" t="s">
        <v>52</v>
      </c>
      <c r="B25" s="26"/>
      <c r="C25" s="26"/>
      <c r="D25" s="26"/>
      <c r="E25" s="26"/>
      <c r="F25" s="26"/>
      <c r="G25" s="26"/>
      <c r="H25" s="26"/>
      <c r="I25" s="26"/>
      <c r="J25" s="26"/>
      <c r="K25" s="26"/>
      <c r="L25" s="26"/>
      <c r="M25" s="26"/>
      <c r="N25" s="26"/>
      <c r="O25" s="24"/>
      <c r="P25" s="18" t="str">
        <f>IF(SUM(B25:O25)=0,"",SUM(B25:O25))</f>
        <v/>
      </c>
    </row>
  </sheetData>
  <sheetProtection sheet="1" objects="1" scenarios="1"/>
  <mergeCells count="104">
    <mergeCell ref="N2:P2"/>
    <mergeCell ref="N3:P3"/>
    <mergeCell ref="A1:G1"/>
    <mergeCell ref="I1:J1"/>
    <mergeCell ref="K1:L1"/>
    <mergeCell ref="M1:N1"/>
    <mergeCell ref="O1:P1"/>
    <mergeCell ref="A2:A3"/>
    <mergeCell ref="B2:D2"/>
    <mergeCell ref="B3:D3"/>
    <mergeCell ref="E2:G2"/>
    <mergeCell ref="E3:G3"/>
    <mergeCell ref="A5:A6"/>
    <mergeCell ref="B5:C5"/>
    <mergeCell ref="B6:D6"/>
    <mergeCell ref="E5:F5"/>
    <mergeCell ref="E6:G6"/>
    <mergeCell ref="H2:J2"/>
    <mergeCell ref="H3:J3"/>
    <mergeCell ref="K2:M2"/>
    <mergeCell ref="K3:M3"/>
    <mergeCell ref="H5:I5"/>
    <mergeCell ref="H6:J6"/>
    <mergeCell ref="K5:L5"/>
    <mergeCell ref="K6:M6"/>
    <mergeCell ref="N5:O5"/>
    <mergeCell ref="N6:P6"/>
    <mergeCell ref="B4:D4"/>
    <mergeCell ref="E4:G4"/>
    <mergeCell ref="H4:J4"/>
    <mergeCell ref="K4:M4"/>
    <mergeCell ref="N4:P4"/>
    <mergeCell ref="A11:A12"/>
    <mergeCell ref="B11:C11"/>
    <mergeCell ref="B12:D12"/>
    <mergeCell ref="E11:F11"/>
    <mergeCell ref="E12:G12"/>
    <mergeCell ref="K7:L7"/>
    <mergeCell ref="K8:M8"/>
    <mergeCell ref="N7:O7"/>
    <mergeCell ref="N8:P8"/>
    <mergeCell ref="A9:A10"/>
    <mergeCell ref="B9:C9"/>
    <mergeCell ref="B10:D10"/>
    <mergeCell ref="E9:F9"/>
    <mergeCell ref="E10:G10"/>
    <mergeCell ref="H9:I9"/>
    <mergeCell ref="A7:A8"/>
    <mergeCell ref="B7:C7"/>
    <mergeCell ref="B8:D8"/>
    <mergeCell ref="E7:F7"/>
    <mergeCell ref="E8:G8"/>
    <mergeCell ref="H7:I7"/>
    <mergeCell ref="H8:J8"/>
    <mergeCell ref="H11:I11"/>
    <mergeCell ref="H12:J12"/>
    <mergeCell ref="K11:L11"/>
    <mergeCell ref="K12:M12"/>
    <mergeCell ref="H10:J10"/>
    <mergeCell ref="K9:L9"/>
    <mergeCell ref="K10:M10"/>
    <mergeCell ref="N9:O9"/>
    <mergeCell ref="N10:P10"/>
    <mergeCell ref="K13:L13"/>
    <mergeCell ref="K14:M14"/>
    <mergeCell ref="N13:O13"/>
    <mergeCell ref="N14:P14"/>
    <mergeCell ref="A13:A14"/>
    <mergeCell ref="B13:C13"/>
    <mergeCell ref="B14:D14"/>
    <mergeCell ref="E13:F13"/>
    <mergeCell ref="E14:G14"/>
    <mergeCell ref="H13:I13"/>
    <mergeCell ref="H14:J14"/>
    <mergeCell ref="H16:J16"/>
    <mergeCell ref="N11:O11"/>
    <mergeCell ref="N12:P12"/>
    <mergeCell ref="K15:L15"/>
    <mergeCell ref="K16:M16"/>
    <mergeCell ref="N15:O15"/>
    <mergeCell ref="N16:P16"/>
    <mergeCell ref="A17:A18"/>
    <mergeCell ref="B17:C17"/>
    <mergeCell ref="B18:D18"/>
    <mergeCell ref="E17:F17"/>
    <mergeCell ref="E18:G18"/>
    <mergeCell ref="A15:A16"/>
    <mergeCell ref="B15:C15"/>
    <mergeCell ref="B16:D16"/>
    <mergeCell ref="E15:F15"/>
    <mergeCell ref="E16:G16"/>
    <mergeCell ref="H15:I15"/>
    <mergeCell ref="B19:D19"/>
    <mergeCell ref="E19:G19"/>
    <mergeCell ref="H19:J19"/>
    <mergeCell ref="K19:M19"/>
    <mergeCell ref="N19:P19"/>
    <mergeCell ref="A23:A24"/>
    <mergeCell ref="H17:I17"/>
    <mergeCell ref="H18:J18"/>
    <mergeCell ref="K17:L17"/>
    <mergeCell ref="K18:M18"/>
    <mergeCell ref="N17:O17"/>
    <mergeCell ref="N18:P18"/>
  </mergeCells>
  <phoneticPr fontId="5"/>
  <dataValidations count="1">
    <dataValidation type="list" allowBlank="1" showInputMessage="1" sqref="D5 P17 M17 J17 G17 D17 P15 M15 J15 G15 D15 P13 M13 J13 G13 D13 P11 M11 J11 G11 D11 P9 M9 J9 G9 D9 P7 M7 J7 G7 D7 P5 M5 J5 G5" xr:uid="{98971C13-E443-4945-8CC3-BF2DB42E6EBE}">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xr:uid="{7B5AD983-FD41-4649-B2C5-54982E71DA28}">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基本設定</vt:lpstr>
      <vt:lpstr>時間割マスター</vt:lpstr>
      <vt:lpstr>週案_テンプレート</vt:lpstr>
      <vt:lpstr>週案_テンプレート!Print_Area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2026-03-22T08:44:11Z</dcterms:created>
  <dcterms:modified xsi:type="dcterms:W3CDTF">2026-09-02T11:48:04Z</dcterms:modified>
</cp:coreProperties>
</file>