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4.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5.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6.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7.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8.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9.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10.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drawings/drawing11.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1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drawings/drawing13.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14.xml" ContentType="application/vnd.openxmlformats-officedocument.drawing+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15.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drawings/drawing16.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drawings/drawing17.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E:\03 進度予定表\0902版\"/>
    </mc:Choice>
  </mc:AlternateContent>
  <xr:revisionPtr revIDLastSave="0" documentId="13_ncr:1_{E2DF6177-4DB3-4EB8-B7C0-8BD89366822E}" xr6:coauthVersionLast="47" xr6:coauthVersionMax="47" xr10:uidLastSave="{00000000-0000-0000-0000-000000000000}"/>
  <bookViews>
    <workbookView xWindow="444" yWindow="996" windowWidth="28776" windowHeight="19440" firstSheet="7" activeTab="18" xr2:uid="{00000000-000D-0000-FFFF-FFFF00000000}"/>
  </bookViews>
  <sheets>
    <sheet name="基本設定" sheetId="1" r:id="rId1"/>
    <sheet name="時間割マスター" sheetId="2" r:id="rId2"/>
    <sheet name="週案_テンプレート" sheetId="3" r:id="rId3"/>
    <sheet name="第01週" sheetId="4" r:id="rId4"/>
    <sheet name="第02週" sheetId="5" r:id="rId5"/>
    <sheet name="第03週" sheetId="6" r:id="rId6"/>
    <sheet name="第04週" sheetId="7" r:id="rId7"/>
    <sheet name="第05週" sheetId="8" r:id="rId8"/>
    <sheet name="第06週" sheetId="9" r:id="rId9"/>
    <sheet name="第07週" sheetId="10" r:id="rId10"/>
    <sheet name="第08週" sheetId="11" r:id="rId11"/>
    <sheet name="第09週" sheetId="12" r:id="rId12"/>
    <sheet name="第10週" sheetId="13" r:id="rId13"/>
    <sheet name="第11週" sheetId="14" r:id="rId14"/>
    <sheet name="第12週" sheetId="15" r:id="rId15"/>
    <sheet name="第13週" sheetId="16" r:id="rId16"/>
    <sheet name="第14週" sheetId="17" r:id="rId17"/>
    <sheet name="第15週" sheetId="18" r:id="rId18"/>
    <sheet name="第16週" sheetId="19" r:id="rId19"/>
  </sheets>
  <functionGroups builtInGroupCount="19"/>
  <definedNames>
    <definedName name="_xlnm.Print_Area" localSheetId="2">週案_テンプレート!$A$1:$P$25</definedName>
    <definedName name="_xlnm.Print_Area" localSheetId="3">第01週!$A$1:$P$25</definedName>
    <definedName name="_xlnm.Print_Area" localSheetId="4">第02週!$A$1:$P$25</definedName>
    <definedName name="_xlnm.Print_Area" localSheetId="5">第03週!$A$1:$P$25</definedName>
    <definedName name="_xlnm.Print_Area" localSheetId="6">第04週!$A$1:$P$25</definedName>
    <definedName name="_xlnm.Print_Area" localSheetId="7">第05週!$A$1:$P$25</definedName>
    <definedName name="_xlnm.Print_Area" localSheetId="8">第06週!$A$1:$P$25</definedName>
    <definedName name="_xlnm.Print_Area" localSheetId="9">第07週!$A$1:$P$25</definedName>
    <definedName name="_xlnm.Print_Area" localSheetId="10">第08週!$A$1:$P$25</definedName>
    <definedName name="_xlnm.Print_Area" localSheetId="11">第09週!$A$1:$P$25</definedName>
    <definedName name="_xlnm.Print_Area" localSheetId="12">第10週!$A$1:$P$25</definedName>
    <definedName name="_xlnm.Print_Area" localSheetId="13">第11週!$A$1:$P$25</definedName>
    <definedName name="_xlnm.Print_Area" localSheetId="14">第12週!$A$1:$P$25</definedName>
    <definedName name="_xlnm.Print_Area" localSheetId="15">第13週!$A$1:$P$25</definedName>
    <definedName name="_xlnm.Print_Area" localSheetId="16">第14週!$A$1:$P$25</definedName>
    <definedName name="_xlnm.Print_Area" localSheetId="17">第15週!$A$1:$P$25</definedName>
    <definedName name="_xlnm.Print_Area" localSheetId="18">第16週!$A$1:$P$25</definedName>
  </definedNames>
  <calcPr calcId="191029"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<sst xmlns="http://schemas.openxmlformats.org/spreadsheetml/2006/main" count="498" uniqueCount="61">
  <si>
    <t>設定項目</t>
  </si>
  <si>
    <t>入力値</t>
  </si>
  <si>
    <t>説明</t>
  </si>
  <si>
    <t>年度（西暦）</t>
  </si>
  <si>
    <t>例：2026</t>
  </si>
  <si>
    <t>担当教科</t>
  </si>
  <si>
    <t>授業集計のメイン科目</t>
  </si>
  <si>
    <t>【担当クラス】</t>
  </si>
  <si>
    <t>クラス①</t>
  </si>
  <si>
    <t>クラス②</t>
  </si>
  <si>
    <t>クラス③</t>
  </si>
  <si>
    <t>クラス④</t>
  </si>
  <si>
    <t>クラス⑤</t>
  </si>
  <si>
    <t>クラス⑥</t>
  </si>
  <si>
    <t>クラス⑦</t>
  </si>
  <si>
    <t>クラス⑧</t>
  </si>
  <si>
    <t>【特別活動等】</t>
  </si>
  <si>
    <t>特別活動①</t>
  </si>
  <si>
    <t>特別活動②</t>
  </si>
  <si>
    <t>特別活動③</t>
  </si>
  <si>
    <t>道徳</t>
  </si>
  <si>
    <t>特別活動④</t>
  </si>
  <si>
    <t>総合</t>
  </si>
  <si>
    <t>特別活動⑤</t>
  </si>
  <si>
    <t>【週コマ数マスター】</t>
  </si>
  <si>
    <t>集計表の「週コマ数」欄に反映</t>
  </si>
  <si>
    <t>空欄＝集計しない</t>
  </si>
  <si>
    <t>時間割マスター　※プルダウンからクラスを選択</t>
  </si>
  <si>
    <t>校時</t>
  </si>
  <si>
    <t>月</t>
  </si>
  <si>
    <t>火</t>
  </si>
  <si>
    <t>水</t>
  </si>
  <si>
    <t>木</t>
  </si>
  <si>
    <t>金</t>
  </si>
  <si>
    <t>2026年度　第　　週（　　月　　日?　　月　　日）　進度予定表</t>
  </si>
  <si>
    <t>決裁</t>
  </si>
  <si>
    <t>校長</t>
  </si>
  <si>
    <t>教頭</t>
  </si>
  <si>
    <t>主幹</t>
  </si>
  <si>
    <t>教務</t>
  </si>
  <si>
    <t>時</t>
  </si>
  <si>
    <t>　/　（月）</t>
  </si>
  <si>
    <t>　/　（火）</t>
  </si>
  <si>
    <t>　/　（水）</t>
  </si>
  <si>
    <t>　/　（木）</t>
  </si>
  <si>
    <t>　/　（金）</t>
  </si>
  <si>
    <t>予定</t>
  </si>
  <si>
    <t>授業後</t>
  </si>
  <si>
    <t>授業</t>
  </si>
  <si>
    <t>計</t>
  </si>
  <si>
    <t>週コマ数</t>
  </si>
  <si>
    <t>実施/予定</t>
  </si>
  <si>
    <t>累　計</t>
  </si>
  <si>
    <t>特活(学活含む)</t>
  </si>
  <si>
    <t>【長期休業期間】</t>
  </si>
  <si>
    <t>夏休み開始</t>
  </si>
  <si>
    <t>夏休み終了</t>
  </si>
  <si>
    <t>冬休み開始</t>
  </si>
  <si>
    <t>冬休み終了</t>
  </si>
  <si>
    <t>春休み開始</t>
  </si>
  <si>
    <t>春休み終了</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</si>
</sst>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quot;テスト&quot;"/>
  </numFmts>
  <fonts count="30" x14ac:knownFonts="1">
    <font>
      <sz val="11"/>
      <color theme="1"/>
      <name val="ＭＳ Ｐゴシック"/>
      <family val="2"/>
      <scheme val="minor"/>
    </font>
    <font>
      <b/>
      <sz val="10"/>
      <color rgb="FFFFFFFF"/>
      <name val="メイリオ"/>
      <family val="3"/>
      <charset val="128"/>
    </font>
    <font>
      <b/>
      <sz val="10"/>
      <color rgb="FF1F3864"/>
      <name val="メイリオ"/>
      <family val="3"/>
      <charset val="128"/>
    </font>
    <font>
      <sz val="9"/>
      <color rgb="FF888888"/>
      <name val="メイリオ"/>
      <family val="3"/>
      <charset val="128"/>
    </font>
    <font>
      <sz val="10"/>
      <color rgb="FF000000"/>
      <name val="メイリオ"/>
      <family val="3"/>
      <charset val="128"/>
    </font>
    <font>
      <sz val="6"/>
      <name val="ＭＳ Ｐゴシック"/>
      <family val="3"/>
      <charset val="128"/>
      <scheme val="minor"/>
    </font>
    <font>
      <sz val="9"/>
      <color rgb="FF000000"/>
      <name val="メイリオ"/>
      <family val="3"/>
      <charset val="128"/>
    </font>
    <font>
      <b/>
      <sz val="9"/>
      <color rgb="FFFFFFFF"/>
      <name val="メイリオ"/>
      <family val="3"/>
      <charset val="128"/>
    </font>
    <font>
      <b/>
      <sz val="10"/>
      <color rgb="FF1A237E"/>
      <name val="メイリオ"/>
      <family val="3"/>
      <charset val="128"/>
    </font>
    <font>
      <b/>
      <sz val="11"/>
      <color rgb="FFFFFFFF"/>
      <name val="メイリオ"/>
      <family val="3"/>
      <charset val="128"/>
    </font>
    <font>
      <b/>
      <sz val="7"/>
      <color rgb="FF646464"/>
      <name val="メイリオ"/>
      <family val="3"/>
      <charset val="128"/>
    </font>
    <font>
      <sz val="7"/>
      <color rgb="FF646464"/>
      <name val="メイリオ"/>
      <family val="3"/>
      <charset val="128"/>
    </font>
    <font>
      <b/>
      <sz val="11"/>
      <color rgb="FF000000"/>
      <name val="メイリオ"/>
      <family val="3"/>
      <charset val="128"/>
    </font>
    <font>
      <sz val="8"/>
      <color theme="1"/>
      <name val="メイリオ"/>
      <family val="3"/>
      <charset val="128"/>
    </font>
    <font>
      <sz val="8"/>
      <color rgb="FF555555"/>
      <name val="メイリオ"/>
      <family val="3"/>
      <charset val="128"/>
    </font>
    <font>
      <b/>
      <sz val="7"/>
      <color rgb="FFFFFFFF"/>
      <name val="メイリオ"/>
      <family val="3"/>
      <charset val="128"/>
    </font>
    <font>
      <b/>
      <sz val="12"/>
      <color rgb="FFFFFFFF"/>
      <name val="メイリオ"/>
      <family val="3"/>
      <charset val="128"/>
    </font>
    <font>
      <b/>
      <sz val="9"/>
      <color rgb="FF1A237E"/>
      <name val="メイリオ"/>
      <family val="3"/>
      <charset val="128"/>
    </font>
    <font>
      <sz val="7"/>
      <color rgb="FF555555"/>
      <name val="メイリオ"/>
      <family val="3"/>
      <charset val="128"/>
    </font>
    <font>
      <sz val="8"/>
      <color rgb="FF212121"/>
      <name val="メイリオ"/>
      <family val="3"/>
      <charset val="128"/>
    </font>
    <font>
      <b/>
      <sz val="8"/>
      <color rgb="FFFFFFFF"/>
      <name val="メイリオ"/>
      <family val="3"/>
      <charset val="128"/>
    </font>
    <font>
      <sz val="7"/>
      <color rgb="FF1A237E"/>
      <name val="メイリオ"/>
      <family val="3"/>
      <charset val="128"/>
    </font>
    <font>
      <sz val="9"/>
      <color theme="1"/>
      <name val="メイリオ"/>
      <family val="3"/>
      <charset val="128"/>
    </font>
    <font>
      <b/>
      <sz val="11"/>
      <color rgb="FFBF360C"/>
      <name val="メイリオ"/>
      <family val="3"/>
      <charset val="128"/>
    </font>
    <font>
      <sz val="7"/>
      <color rgb="FF000000"/>
      <name val="メイリオ"/>
      <family val="3"/>
      <charset val="128"/>
    </font>
    <font>
      <sz val="9"/>
      <color rgb="FF795500"/>
      <name val="メイリオ"/>
      <family val="3"/>
      <charset val="128"/>
    </font>
    <font>
      <b/>
      <sz val="9"/>
      <color rgb="FF1B5E20"/>
      <name val="メイリオ"/>
      <family val="3"/>
      <charset val="128"/>
    </font>
    <font>
      <b/>
      <sz val="7"/>
      <color rgb="FF880E4F"/>
      <name val="メイリオ"/>
      <family val="3"/>
      <charset val="128"/>
    </font>
    <font>
      <b/>
      <sz val="9"/>
      <color rgb="FF880E4F"/>
      <name val="メイリオ"/>
      <family val="3"/>
      <charset val="128"/>
    </font>
    <font>
      <sz val="9"/>
      <color rgb="FF1A237E"/>
      <name val="メイリオ"/>
      <family val="3"/>
      <charset val="128"/>
    </font>
  </fonts>
  <fills count="25">
    <fill>
      <patternFill patternType="none"/>
    </fill>
    <fill>
      <patternFill patternType="gray125"/>
    </fill>
    <fill>
      <patternFill patternType="solid">
        <fgColor rgb="FF2F5597"/>
      </patternFill>
    </fill>
    <fill>
      <patternFill patternType="solid">
        <fgColor rgb="FFD6E4F0"/>
      </patternFill>
    </fill>
    <fill>
      <patternFill patternType="solid">
        <fgColor rgb="FFF2F7FB"/>
      </patternFill>
    </fill>
    <fill>
      <patternFill patternType="solid">
        <fgColor rgb="FF1E8449"/>
        <bgColor indexed="64"/>
      </patternFill>
    </fill>
    <fill>
      <patternFill patternType="solid">
        <fgColor rgb="FF2E86AB"/>
        <bgColor indexed="64"/>
      </patternFill>
    </fill>
    <fill>
      <patternFill patternType="solid">
        <fgColor rgb="FFEBF5FB"/>
        <bgColor indexed="64"/>
      </patternFill>
    </fill>
    <fill>
      <patternFill patternType="solid">
        <fgColor rgb="FF2F5597"/>
        <bgColor indexed="64"/>
      </patternFill>
    </fill>
    <fill>
      <patternFill patternType="solid">
        <fgColor rgb="FF546E7A"/>
        <bgColor indexed="64"/>
      </patternFill>
    </fill>
    <fill>
      <patternFill patternType="solid">
        <fgColor rgb="FFDBEAFE"/>
        <bgColor indexed="64"/>
      </patternFill>
    </fill>
    <fill>
      <patternFill patternType="solid">
        <fgColor rgb="FFFEF9C3"/>
        <bgColor indexed="64"/>
      </patternFill>
    </fill>
    <fill>
      <patternFill patternType="solid">
        <fgColor rgb="FFDCFCE7"/>
        <bgColor indexed="64"/>
      </patternFill>
    </fill>
    <fill>
      <patternFill patternType="solid">
        <fgColor rgb="FFFFE4E6"/>
        <bgColor indexed="64"/>
      </patternFill>
    </fill>
    <fill>
      <patternFill patternType="solid">
        <fgColor rgb="FFF3E8FF"/>
        <bgColor indexed="64"/>
      </patternFill>
    </fill>
    <fill>
      <patternFill patternType="solid">
        <fgColor rgb="FFE3F2FD"/>
        <bgColor indexed="64"/>
      </patternFill>
    </fill>
    <fill>
      <patternFill patternType="solid">
        <fgColor rgb="FFBFDBFE"/>
        <bgColor indexed="64"/>
      </patternFill>
    </fill>
    <fill>
      <patternFill patternType="solid">
        <fgColor rgb="FFFFFFFF"/>
        <bgColor indexed="64"/>
      </patternFill>
    </fill>
    <fill>
      <patternFill patternType="solid">
        <fgColor rgb="FF455A64"/>
        <bgColor indexed="64"/>
      </patternFill>
    </fill>
    <fill>
      <patternFill patternType="solid">
        <fgColor rgb="FFECEFF1"/>
        <bgColor indexed="64"/>
      </patternFill>
    </fill>
    <fill>
      <patternFill patternType="solid">
        <fgColor rgb="FFBF360C"/>
        <bgColor indexed="64"/>
      </patternFill>
    </fill>
    <fill>
      <patternFill patternType="solid">
        <fgColor rgb="FFFFF3E0"/>
        <bgColor indexed="64"/>
      </patternFill>
    </fill>
    <fill>
      <patternFill patternType="solid">
        <fgColor rgb="FFF5F5F5"/>
        <bgColor indexed="64"/>
      </patternFill>
    </fill>
    <fill>
      <patternFill patternType="solid">
        <fgColor rgb="FFFFF9C4"/>
        <bgColor indexed="64"/>
      </patternFill>
    </fill>
    <fill>
      <patternFill patternType="solid">
        <fgColor rgb="FFFCE4EC"/>
        <bgColor indexed="64"/>
      </patternFill>
    </fill>
  </fills>
  <borders count="3">
    <border>
      <left/>
      <right/>
      <top/>
      <bottom/>
      <diagonal/>
    </border>
    <border>
      <left style="thin">
        <color rgb="FFBBBBBB"/>
      </left>
      <right style="thin">
        <color rgb="FFBBBBBB"/>
      </right>
      <top style="thin">
        <color rgb="FFBBBBBB"/>
      </top>
      <bottom style="thin">
        <color rgb="FFBBBBBB"/>
      </bottom>
      <diagonal/>
    </border>
    <border>
      <left style="thin">
        <color rgb="FF969696"/>
      </left>
      <right style="thin">
        <color rgb="FF969696"/>
      </right>
      <top style="thin">
        <color rgb="FF969696"/>
      </top>
      <bottom style="thin">
        <color rgb="FF969696"/>
      </bottom>
      <diagonal/>
    </border>
  </borders>
  <cellStyleXfs count="1">
    <xf numFmtId="0" fontId="0" fillId="0" borderId="0"/>
  </cellStyleXfs>
  <cellXfs count="62">
    <xf numFmtId="0" fontId="0" fillId="0" borderId="0" xfId="0"/>
    <xf numFmtId="0" fontId="0" fillId="0" borderId="1" xfId="0" applyBorder="1" applyProtection="1">
      <protection locked="0"/>
    </xf>
    <xf numFmtId="49" fontId="0" fillId="0" borderId="1" xfId="0" applyNumberFormat="1" applyBorder="1" applyProtection="1">
      <protection locked="0"/>
    </xf>
    <xf numFmtId="49" fontId="0" fillId="0" borderId="0" xfId="0" applyNumberFormat="1" applyProtection="1">
      <protection locked="0"/>
    </xf>
    <xf numFmtId="1" fontId="0" fillId="0" borderId="1" xfId="0" applyNumberFormat="1" applyBorder="1" applyProtection="1">
      <protection locked="0"/>
    </xf>
    <xf numFmtId="0" fontId="1" fillId="5" borderId="1" xfId="0" applyFont="1" applyFill="1" applyBorder="1" applyAlignment="1">
      <alignment horizontal="center"/>
    </xf>
    <xf numFmtId="0" fontId="1" fillId="6" borderId="1" xfId="0" applyFont="1" applyFill="1" applyBorder="1" applyAlignment="1">
      <alignment horizontal="center"/>
    </xf>
    <xf numFmtId="49" fontId="8" fillId="7" borderId="1" xfId="0" applyNumberFormat="1" applyFont="1" applyFill="1" applyBorder="1" applyAlignment="1" applyProtection="1">
      <alignment horizontal="center"/>
      <protection locked="0"/>
    </xf>
    <xf numFmtId="0" fontId="10" fillId="0" borderId="2" xfId="0" applyFont="1" applyBorder="1" applyAlignment="1">
      <alignment horizontal="center" vertical="center"/>
    </xf>
    <xf numFmtId="0" fontId="15" fillId="9" borderId="1" xfId="0" applyFont="1" applyFill="1" applyBorder="1" applyAlignment="1">
      <alignment horizontal="center" vertical="center"/>
    </xf>
    <xf numFmtId="0" fontId="15" fillId="18" borderId="1" xfId="0" applyFont="1" applyFill="1" applyBorder="1" applyAlignment="1">
      <alignment horizontal="center" vertical="center"/>
    </xf>
    <xf numFmtId="0" fontId="0" fillId="8" borderId="1" xfId="0" applyFill="1" applyBorder="1"/>
    <xf numFmtId="0" fontId="20" fillId="8" borderId="1" xfId="0" applyFont="1" applyFill="1" applyBorder="1" applyAlignment="1">
      <alignment horizontal="center" vertical="center"/>
    </xf>
    <xf numFmtId="0" fontId="15" fillId="8" borderId="1" xfId="0" applyFont="1" applyFill="1" applyBorder="1" applyAlignment="1">
      <alignment horizontal="center" vertical="center" shrinkToFit="1"/>
    </xf>
    <xf numFmtId="0" fontId="7" fillId="20" borderId="1" xfId="0" applyFont="1" applyFill="1" applyBorder="1" applyAlignment="1">
      <alignment horizontal="center" vertical="center"/>
    </xf>
    <xf numFmtId="0" fontId="21" fillId="15" borderId="1" xfId="0" applyFont="1" applyFill="1" applyBorder="1" applyAlignment="1">
      <alignment horizontal="center" vertical="center" shrinkToFit="1"/>
    </xf>
    <xf numFmtId="0" fontId="22" fillId="15" borderId="1" xfId="0" applyFont="1" applyFill="1" applyBorder="1" applyAlignment="1">
      <alignment horizontal="center" vertical="center"/>
    </xf>
    <xf numFmtId="0" fontId="29" fillId="15" borderId="1" xfId="0" applyFont="1" applyFill="1" applyBorder="1" applyAlignment="1">
      <alignment horizontal="center" vertical="center"/>
    </xf>
    <xf numFmtId="0" fontId="23" fillId="21" borderId="1" xfId="0" applyFont="1" applyFill="1" applyBorder="1" applyAlignment="1">
      <alignment horizontal="center" vertical="center"/>
    </xf>
    <xf numFmtId="0" fontId="26" fillId="17" borderId="1" xfId="0" applyFont="1" applyFill="1" applyBorder="1" applyAlignment="1">
      <alignment horizontal="left" vertical="center"/>
    </xf>
    <xf numFmtId="0" fontId="23" fillId="21" borderId="1" xfId="0" applyFont="1" applyFill="1" applyBorder="1" applyAlignment="1">
      <alignment horizontal="left" vertical="center"/>
    </xf>
    <xf numFmtId="0" fontId="25" fillId="23" borderId="1" xfId="0" applyFont="1" applyFill="1" applyBorder="1" applyAlignment="1">
      <alignment horizontal="right" vertical="center"/>
    </xf>
    <xf numFmtId="0" fontId="23" fillId="21" borderId="1" xfId="0" applyFont="1" applyFill="1" applyBorder="1" applyAlignment="1">
      <alignment horizontal="right" vertical="center"/>
    </xf>
    <xf numFmtId="0" fontId="27" fillId="24" borderId="1" xfId="0" applyFont="1" applyFill="1" applyBorder="1" applyAlignment="1">
      <alignment horizontal="center" vertical="center" shrinkToFit="1"/>
    </xf>
    <xf numFmtId="0" fontId="28" fillId="24" borderId="1" xfId="0" applyFont="1" applyFill="1" applyBorder="1" applyAlignment="1">
      <alignment horizontal="center" vertical="center"/>
    </xf>
    <xf numFmtId="0" fontId="18" fillId="16" borderId="1" xfId="0" applyFont="1" applyFill="1" applyBorder="1" applyAlignment="1" applyProtection="1">
      <alignment horizontal="center" vertical="center"/>
      <protection locked="0"/>
    </xf>
    <xf numFmtId="0" fontId="28" fillId="24" borderId="1" xfId="0" applyFont="1" applyFill="1" applyBorder="1" applyAlignment="1" applyProtection="1">
      <alignment horizontal="center" vertical="center"/>
      <protection locked="0"/>
    </xf>
    <xf numFmtId="0" fontId="1" fillId="2" borderId="1" xfId="0" applyFont="1" applyFill="1" applyBorder="1" applyAlignment="1">
      <alignment horizontal="center" vertical="center"/>
    </xf>
    <xf numFmtId="0" fontId="4" fillId="4" borderId="1" xfId="0" applyFont="1" applyFill="1" applyBorder="1"/>
    <xf numFmtId="0" fontId="3" fillId="0" borderId="0" xfId="0" applyFont="1"/>
    <xf numFmtId="0" fontId="2" fillId="3" borderId="0" xfId="0" applyFont="1" applyFill="1"/>
    <xf numFmtId="49" fontId="4" fillId="4" borderId="1" xfId="0" applyNumberFormat="1" applyFont="1" applyFill="1" applyBorder="1"/>
    <xf numFmtId="0" fontId="7" fillId="5" borderId="0" xfId="0" applyFont="1" applyFill="1" applyAlignment="1">
      <alignment horizontal="left" vertical="center"/>
    </xf>
    <xf numFmtId="0" fontId="0" fillId="0" borderId="0" xfId="0" applyAlignment="1">
      <alignment horizontal="left" vertical="center"/>
    </xf>
    <xf numFmtId="0" fontId="13" fillId="19" borderId="1" xfId="0" applyFont="1" applyFill="1" applyBorder="1" applyAlignment="1" applyProtection="1">
      <alignment horizontal="left" vertical="top" wrapText="1"/>
      <protection locked="0"/>
    </xf>
    <xf numFmtId="0" fontId="24" fillId="22" borderId="1" xfId="0" applyFont="1" applyFill="1" applyBorder="1" applyAlignment="1">
      <alignment horizontal="center" vertical="center" shrinkToFit="1"/>
    </xf>
    <xf numFmtId="0" fontId="0" fillId="0" borderId="1" xfId="0" applyBorder="1" applyAlignment="1">
      <alignment horizontal="center" vertical="center" shrinkToFit="1"/>
    </xf>
    <xf numFmtId="49" fontId="17" fillId="15" borderId="1" xfId="0" applyNumberFormat="1" applyFont="1" applyFill="1" applyBorder="1" applyAlignment="1" applyProtection="1">
      <alignment horizontal="center" vertical="center"/>
      <protection locked="0"/>
    </xf>
    <xf numFmtId="0" fontId="19" fillId="17" borderId="1" xfId="0" applyFont="1" applyFill="1" applyBorder="1" applyAlignment="1" applyProtection="1">
      <alignment horizontal="left" vertical="top" wrapText="1"/>
      <protection locked="0"/>
    </xf>
    <xf numFmtId="0" fontId="16" fillId="9" borderId="1" xfId="0" applyFont="1" applyFill="1" applyBorder="1" applyAlignment="1">
      <alignment horizontal="center" vertical="center"/>
    </xf>
    <xf numFmtId="0" fontId="13" fillId="10" borderId="1" xfId="0" applyFont="1" applyFill="1" applyBorder="1" applyAlignment="1" applyProtection="1">
      <alignment horizontal="left" vertical="top" wrapText="1"/>
      <protection locked="0"/>
    </xf>
    <xf numFmtId="0" fontId="13" fillId="11" borderId="1" xfId="0" applyFont="1" applyFill="1" applyBorder="1" applyAlignment="1" applyProtection="1">
      <alignment horizontal="left" vertical="top" wrapText="1"/>
      <protection locked="0"/>
    </xf>
    <xf numFmtId="0" fontId="13" fillId="12" borderId="1" xfId="0" applyFont="1" applyFill="1" applyBorder="1" applyAlignment="1" applyProtection="1">
      <alignment horizontal="left" vertical="top" wrapText="1"/>
      <protection locked="0"/>
    </xf>
    <xf numFmtId="0" fontId="13" fillId="13" borderId="1" xfId="0" applyFont="1" applyFill="1" applyBorder="1" applyAlignment="1" applyProtection="1">
      <alignment horizontal="left" vertical="top" wrapText="1"/>
      <protection locked="0"/>
    </xf>
    <xf numFmtId="0" fontId="13" fillId="14" borderId="1" xfId="0" applyFont="1" applyFill="1" applyBorder="1" applyAlignment="1" applyProtection="1">
      <alignment horizontal="left" vertical="top" wrapText="1"/>
      <protection locked="0"/>
    </xf>
    <xf numFmtId="0" fontId="12" fillId="12" borderId="1" xfId="0" applyFont="1" applyFill="1" applyBorder="1" applyAlignment="1">
      <alignment horizontal="center" vertical="center"/>
    </xf>
    <xf numFmtId="49" fontId="14" fillId="12" borderId="1" xfId="0" applyNumberFormat="1" applyFont="1" applyFill="1" applyBorder="1" applyAlignment="1" applyProtection="1">
      <alignment horizontal="center" vertical="center"/>
      <protection locked="0"/>
    </xf>
    <xf numFmtId="0" fontId="12" fillId="13" borderId="1" xfId="0" applyFont="1" applyFill="1" applyBorder="1" applyAlignment="1">
      <alignment horizontal="center" vertical="center"/>
    </xf>
    <xf numFmtId="49" fontId="14" fillId="13" borderId="1" xfId="0" applyNumberFormat="1" applyFont="1" applyFill="1" applyBorder="1" applyAlignment="1" applyProtection="1">
      <alignment horizontal="center" vertical="center"/>
      <protection locked="0"/>
    </xf>
    <xf numFmtId="0" fontId="12" fillId="14" borderId="1" xfId="0" applyFont="1" applyFill="1" applyBorder="1" applyAlignment="1">
      <alignment horizontal="center" vertical="center"/>
    </xf>
    <xf numFmtId="49" fontId="14" fillId="14" borderId="1" xfId="0" applyNumberFormat="1" applyFont="1" applyFill="1" applyBorder="1" applyAlignment="1" applyProtection="1">
      <alignment horizontal="center" vertical="center"/>
      <protection locked="0"/>
    </xf>
    <xf numFmtId="0" fontId="9" fillId="8" borderId="0" xfId="0" applyFont="1" applyFill="1" applyAlignment="1">
      <alignment horizontal="center" vertical="center"/>
    </xf>
    <xf numFmtId="0" fontId="0" fillId="0" borderId="0" xfId="0" applyAlignment="1">
      <alignment horizontal="center" vertical="center"/>
    </xf>
    <xf numFmtId="0" fontId="11" fillId="0" borderId="2" xfId="0" applyFont="1" applyBorder="1" applyAlignment="1">
      <alignment horizontal="center" vertical="top"/>
    </xf>
    <xf numFmtId="0" fontId="0" fillId="0" borderId="2" xfId="0" applyBorder="1" applyAlignment="1">
      <alignment horizontal="center" vertical="top"/>
    </xf>
    <xf numFmtId="0" fontId="7" fillId="9" borderId="1" xfId="0" applyFont="1" applyFill="1" applyBorder="1" applyAlignment="1">
      <alignment horizontal="center" vertical="center"/>
    </xf>
    <xf numFmtId="0" fontId="0" fillId="0" borderId="1" xfId="0" applyBorder="1" applyAlignment="1">
      <alignment horizontal="center" vertical="center"/>
    </xf>
    <xf numFmtId="0" fontId="12" fillId="10" borderId="1" xfId="0" applyFont="1" applyFill="1" applyBorder="1" applyAlignment="1">
      <alignment horizontal="center" vertical="center"/>
    </xf>
    <xf numFmtId="49" fontId="14" fillId="10" borderId="1" xfId="0" applyNumberFormat="1" applyFont="1" applyFill="1" applyBorder="1" applyAlignment="1" applyProtection="1">
      <alignment horizontal="center" vertical="center"/>
      <protection locked="0"/>
    </xf>
    <xf numFmtId="0" fontId="12" fillId="11" borderId="1" xfId="0" applyFont="1" applyFill="1" applyBorder="1" applyAlignment="1">
      <alignment horizontal="center" vertical="center"/>
    </xf>
    <xf numFmtId="49" fontId="14" fillId="11" borderId="1" xfId="0" applyNumberFormat="1" applyFont="1" applyFill="1" applyBorder="1" applyAlignment="1" applyProtection="1">
      <alignment horizontal="center" vertical="center"/>
      <protection locked="0"/>
    </xf>
    <xf numFmtId="176" fontId="17" fillId="15" borderId="1" xfId="0" applyNumberFormat="1" applyFont="1" applyFill="1" applyBorder="1" applyAlignment="1" applyProtection="1">
      <alignment horizontal="center" vertical="center"/>
      <protection locked="0"/>
    </xf>
  </cellXfs>
  <cellStyles count="1">
    <cellStyle name="標準"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99060</xdr:colOff>
          <xdr:row>33</xdr:row>
          <xdr:rowOff>114300</xdr:rowOff>
        </xdr:from>
        <xdr:to>
          <xdr:col>6</xdr:col>
          <xdr:colOff>441960</xdr:colOff>
          <xdr:row>34</xdr:row>
          <xdr:rowOff>190500</xdr:rowOff>
        </xdr:to>
        <xdr:sp macro="" textlink="">
          <xdr:nvSpPr>
            <xdr:cNvPr id="2049" name="BtnSetup"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900" b="0" i="0" u="none" strike="noStrike" baseline="0">
                  <a:solidFill>
                    <a:srgbClr val="000000"/>
                  </a:solidFill>
                  <a:latin typeface="メイリオ"/>
                  <a:ea typeface="メイリオ"/>
                </a:rPr>
                <a:t>設定を完了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68580</xdr:colOff>
          <xdr:row>1</xdr:row>
          <xdr:rowOff>30480</xdr:rowOff>
        </xdr:from>
        <xdr:to>
          <xdr:col>6</xdr:col>
          <xdr:colOff>388620</xdr:colOff>
          <xdr:row>2</xdr:row>
          <xdr:rowOff>106680</xdr:rowOff>
        </xdr:to>
        <xdr:sp macro="" textlink="">
          <xdr:nvSpPr>
            <xdr:cNvPr id="2127" name="Auto_0" hidden="1">
              <a:extLst>
                <a:ext uri="{63B3BB69-23CF-44E3-9099-C40C66FF867C}">
                  <a14:compatExt spid="_x0000_s2127"/>
                </a:ext>
                <a:ext uri="{FF2B5EF4-FFF2-40B4-BE49-F238E27FC236}">
                  <a16:creationId xmlns:a16="http://schemas.microsoft.com/office/drawing/2014/main" id="{3EC4FD40-4B74-992E-335D-F5E909EE833A}"/>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900" b="0" i="0" u="none" strike="noStrike" baseline="0">
                  <a:solidFill>
                    <a:srgbClr val="000000"/>
                  </a:solidFill>
                  <a:latin typeface="メイリオ"/>
                  <a:ea typeface="メイリオ"/>
                </a:rPr>
                <a:t>新しい週を追加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68580</xdr:colOff>
          <xdr:row>3</xdr:row>
          <xdr:rowOff>38100</xdr:rowOff>
        </xdr:from>
        <xdr:to>
          <xdr:col>6</xdr:col>
          <xdr:colOff>388620</xdr:colOff>
          <xdr:row>4</xdr:row>
          <xdr:rowOff>152400</xdr:rowOff>
        </xdr:to>
        <xdr:sp macro="" textlink="">
          <xdr:nvSpPr>
            <xdr:cNvPr id="2128" name="Auto_1" hidden="1">
              <a:extLst>
                <a:ext uri="{63B3BB69-23CF-44E3-9099-C40C66FF867C}">
                  <a14:compatExt spid="_x0000_s2128"/>
                </a:ext>
                <a:ext uri="{FF2B5EF4-FFF2-40B4-BE49-F238E27FC236}">
                  <a16:creationId xmlns:a16="http://schemas.microsoft.com/office/drawing/2014/main" id="{A4930AC6-3AAB-7B86-3BD0-EDB03B638879}"/>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900" b="0" i="0" u="none" strike="noStrike" baseline="0">
                  <a:solidFill>
                    <a:srgbClr val="000000"/>
                  </a:solidFill>
                  <a:latin typeface="メイリオ"/>
                  <a:ea typeface="メイリオ"/>
                </a:rPr>
                <a:t>1学期PDF出力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68580</xdr:colOff>
          <xdr:row>5</xdr:row>
          <xdr:rowOff>38100</xdr:rowOff>
        </xdr:from>
        <xdr:to>
          <xdr:col>6</xdr:col>
          <xdr:colOff>388620</xdr:colOff>
          <xdr:row>6</xdr:row>
          <xdr:rowOff>106680</xdr:rowOff>
        </xdr:to>
        <xdr:sp macro="" textlink="">
          <xdr:nvSpPr>
            <xdr:cNvPr id="2129" name="Auto_2" hidden="1">
              <a:extLst>
                <a:ext uri="{63B3BB69-23CF-44E3-9099-C40C66FF867C}">
                  <a14:compatExt spid="_x0000_s2129"/>
                </a:ext>
                <a:ext uri="{FF2B5EF4-FFF2-40B4-BE49-F238E27FC236}">
                  <a16:creationId xmlns:a16="http://schemas.microsoft.com/office/drawing/2014/main" id="{B3E21D61-A205-8994-51CB-D9C5BEC18359}"/>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900" b="0" i="0" u="none" strike="noStrike" baseline="0">
                  <a:solidFill>
                    <a:srgbClr val="000000"/>
                  </a:solidFill>
                  <a:latin typeface="メイリオ"/>
                  <a:ea typeface="メイリオ"/>
                </a:rPr>
                <a:t>2学期PDF出力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68580</xdr:colOff>
          <xdr:row>7</xdr:row>
          <xdr:rowOff>30480</xdr:rowOff>
        </xdr:from>
        <xdr:to>
          <xdr:col>6</xdr:col>
          <xdr:colOff>388620</xdr:colOff>
          <xdr:row>8</xdr:row>
          <xdr:rowOff>106680</xdr:rowOff>
        </xdr:to>
        <xdr:sp macro="" textlink="">
          <xdr:nvSpPr>
            <xdr:cNvPr id="2130" name="Auto_3" hidden="1">
              <a:extLst>
                <a:ext uri="{63B3BB69-23CF-44E3-9099-C40C66FF867C}">
                  <a14:compatExt spid="_x0000_s2130"/>
                </a:ext>
                <a:ext uri="{FF2B5EF4-FFF2-40B4-BE49-F238E27FC236}">
                  <a16:creationId xmlns:a16="http://schemas.microsoft.com/office/drawing/2014/main" id="{6AD80DCF-3434-82D4-C02E-C85F42CEF62E}"/>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900" b="0" i="0" u="none" strike="noStrike" baseline="0">
                  <a:solidFill>
                    <a:srgbClr val="000000"/>
                  </a:solidFill>
                  <a:latin typeface="メイリオ"/>
                  <a:ea typeface="メイリオ"/>
                </a:rPr>
                <a:t>3学期PDF出力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68580</xdr:colOff>
          <xdr:row>9</xdr:row>
          <xdr:rowOff>38100</xdr:rowOff>
        </xdr:from>
        <xdr:to>
          <xdr:col>6</xdr:col>
          <xdr:colOff>388620</xdr:colOff>
          <xdr:row>10</xdr:row>
          <xdr:rowOff>114300</xdr:rowOff>
        </xdr:to>
        <xdr:sp macro="" textlink="">
          <xdr:nvSpPr>
            <xdr:cNvPr id="2131" name="Auto_4" hidden="1">
              <a:extLst>
                <a:ext uri="{63B3BB69-23CF-44E3-9099-C40C66FF867C}">
                  <a14:compatExt spid="_x0000_s2131"/>
                </a:ext>
                <a:ext uri="{FF2B5EF4-FFF2-40B4-BE49-F238E27FC236}">
                  <a16:creationId xmlns:a16="http://schemas.microsoft.com/office/drawing/2014/main" id="{C5E37B18-97A6-B6AB-E0EC-D3BD95D20545}"/>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900" b="0" i="0" u="none" strike="noStrike" baseline="0">
                  <a:solidFill>
                    <a:srgbClr val="000000"/>
                  </a:solidFill>
                  <a:latin typeface="メイリオ"/>
                  <a:ea typeface="メイリオ"/>
                </a:rPr>
                <a:t>次年度ファイルを作成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68580</xdr:colOff>
          <xdr:row>11</xdr:row>
          <xdr:rowOff>30480</xdr:rowOff>
        </xdr:from>
        <xdr:to>
          <xdr:col>6</xdr:col>
          <xdr:colOff>388620</xdr:colOff>
          <xdr:row>12</xdr:row>
          <xdr:rowOff>106680</xdr:rowOff>
        </xdr:to>
        <xdr:sp macro="" textlink="">
          <xdr:nvSpPr>
            <xdr:cNvPr id="2132" name="Auto_5" hidden="1">
              <a:extLst>
                <a:ext uri="{63B3BB69-23CF-44E3-9099-C40C66FF867C}">
                  <a14:compatExt spid="_x0000_s2132"/>
                </a:ext>
                <a:ext uri="{FF2B5EF4-FFF2-40B4-BE49-F238E27FC236}">
                  <a16:creationId xmlns:a16="http://schemas.microsoft.com/office/drawing/2014/main" id="{FD0896F3-DDE6-FCBB-8EDD-B95004EAC5C4}"/>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900" b="0" i="0" u="none" strike="noStrike" baseline="0">
                  <a:solidFill>
                    <a:srgbClr val="000000"/>
                  </a:solidFill>
                  <a:latin typeface="メイリオ"/>
                  <a:ea typeface="メイリオ"/>
                </a:rPr>
                <a:t>別ファイルからインポート</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0</xdr:colOff>
      <xdr:row>22</xdr:row>
      <xdr:rowOff>0</xdr:rowOff>
    </xdr:from>
    <xdr:to>
      <xdr:col>2</xdr:col>
      <xdr:colOff>0</xdr:colOff>
      <xdr:row>24</xdr:row>
      <xdr:rowOff>0</xdr:rowOff>
    </xdr:to>
    <xdr:cxnSp macro="">
      <xdr:nvCxnSpPr>
        <xdr:cNvPr id="2" name="DiagLine1">
          <a:extLst>
            <a:ext uri="{FF2B5EF4-FFF2-40B4-BE49-F238E27FC236}">
              <a16:creationId xmlns:a16="http://schemas.microsoft.com/office/drawing/2014/main" id="{FA128F94-917C-4236-CB55-9FD448517D05}"/>
            </a:ext>
          </a:extLst>
        </xdr:cNvPr>
        <xdr:cNvCxnSpPr/>
      </xdr:nvCxnSpPr>
      <xdr:spPr>
        <a:xfrm flipH="1">
          <a:off x="387350" y="9874250"/>
          <a:ext cx="4000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22</xdr:row>
      <xdr:rowOff>0</xdr:rowOff>
    </xdr:from>
    <xdr:to>
      <xdr:col>3</xdr:col>
      <xdr:colOff>0</xdr:colOff>
      <xdr:row>24</xdr:row>
      <xdr:rowOff>0</xdr:rowOff>
    </xdr:to>
    <xdr:cxnSp macro="">
      <xdr:nvCxnSpPr>
        <xdr:cNvPr id="3" name="DiagLine2">
          <a:extLst>
            <a:ext uri="{FF2B5EF4-FFF2-40B4-BE49-F238E27FC236}">
              <a16:creationId xmlns:a16="http://schemas.microsoft.com/office/drawing/2014/main" id="{D5C3A9C5-E5AD-8876-3DBF-001BDF1F97B0}"/>
            </a:ext>
          </a:extLst>
        </xdr:cNvPr>
        <xdr:cNvCxnSpPr/>
      </xdr:nvCxnSpPr>
      <xdr:spPr>
        <a:xfrm flipH="1">
          <a:off x="787400" y="9874250"/>
          <a:ext cx="4000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0</xdr:rowOff>
    </xdr:from>
    <xdr:to>
      <xdr:col>4</xdr:col>
      <xdr:colOff>0</xdr:colOff>
      <xdr:row>24</xdr:row>
      <xdr:rowOff>0</xdr:rowOff>
    </xdr:to>
    <xdr:cxnSp macro="">
      <xdr:nvCxnSpPr>
        <xdr:cNvPr id="4" name="DiagLine3">
          <a:extLst>
            <a:ext uri="{FF2B5EF4-FFF2-40B4-BE49-F238E27FC236}">
              <a16:creationId xmlns:a16="http://schemas.microsoft.com/office/drawing/2014/main" id="{4537BC93-BD06-6135-6095-4293589AFCF2}"/>
            </a:ext>
          </a:extLst>
        </xdr:cNvPr>
        <xdr:cNvCxnSpPr/>
      </xdr:nvCxnSpPr>
      <xdr:spPr>
        <a:xfrm flipH="1">
          <a:off x="1187450" y="9874250"/>
          <a:ext cx="4000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22</xdr:row>
      <xdr:rowOff>0</xdr:rowOff>
    </xdr:from>
    <xdr:to>
      <xdr:col>5</xdr:col>
      <xdr:colOff>0</xdr:colOff>
      <xdr:row>24</xdr:row>
      <xdr:rowOff>0</xdr:rowOff>
    </xdr:to>
    <xdr:cxnSp macro="">
      <xdr:nvCxnSpPr>
        <xdr:cNvPr id="5" name="DiagLine4">
          <a:extLst>
            <a:ext uri="{FF2B5EF4-FFF2-40B4-BE49-F238E27FC236}">
              <a16:creationId xmlns:a16="http://schemas.microsoft.com/office/drawing/2014/main" id="{EAF2C211-0ACE-CCCF-1145-5427451C169D}"/>
            </a:ext>
          </a:extLst>
        </xdr:cNvPr>
        <xdr:cNvCxnSpPr/>
      </xdr:nvCxnSpPr>
      <xdr:spPr>
        <a:xfrm flipH="1">
          <a:off x="1587500" y="9874250"/>
          <a:ext cx="4000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22</xdr:row>
      <xdr:rowOff>0</xdr:rowOff>
    </xdr:from>
    <xdr:to>
      <xdr:col>6</xdr:col>
      <xdr:colOff>0</xdr:colOff>
      <xdr:row>24</xdr:row>
      <xdr:rowOff>0</xdr:rowOff>
    </xdr:to>
    <xdr:cxnSp macro="">
      <xdr:nvCxnSpPr>
        <xdr:cNvPr id="6" name="DiagLine5">
          <a:extLst>
            <a:ext uri="{FF2B5EF4-FFF2-40B4-BE49-F238E27FC236}">
              <a16:creationId xmlns:a16="http://schemas.microsoft.com/office/drawing/2014/main" id="{31DC41A7-782C-B1D8-7F81-4760B924F62A}"/>
            </a:ext>
          </a:extLst>
        </xdr:cNvPr>
        <xdr:cNvCxnSpPr/>
      </xdr:nvCxnSpPr>
      <xdr:spPr>
        <a:xfrm flipH="1">
          <a:off x="1987550" y="9874250"/>
          <a:ext cx="4000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22</xdr:row>
      <xdr:rowOff>0</xdr:rowOff>
    </xdr:from>
    <xdr:to>
      <xdr:col>7</xdr:col>
      <xdr:colOff>0</xdr:colOff>
      <xdr:row>24</xdr:row>
      <xdr:rowOff>0</xdr:rowOff>
    </xdr:to>
    <xdr:cxnSp macro="">
      <xdr:nvCxnSpPr>
        <xdr:cNvPr id="7" name="DiagLine6">
          <a:extLst>
            <a:ext uri="{FF2B5EF4-FFF2-40B4-BE49-F238E27FC236}">
              <a16:creationId xmlns:a16="http://schemas.microsoft.com/office/drawing/2014/main" id="{5B74AF99-C8B3-42C5-E1A9-B7DCA334E472}"/>
            </a:ext>
          </a:extLst>
        </xdr:cNvPr>
        <xdr:cNvCxnSpPr/>
      </xdr:nvCxnSpPr>
      <xdr:spPr>
        <a:xfrm flipH="1">
          <a:off x="2387600" y="9874250"/>
          <a:ext cx="4000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22</xdr:row>
      <xdr:rowOff>0</xdr:rowOff>
    </xdr:from>
    <xdr:to>
      <xdr:col>8</xdr:col>
      <xdr:colOff>0</xdr:colOff>
      <xdr:row>24</xdr:row>
      <xdr:rowOff>0</xdr:rowOff>
    </xdr:to>
    <xdr:cxnSp macro="">
      <xdr:nvCxnSpPr>
        <xdr:cNvPr id="8" name="DiagLine7">
          <a:extLst>
            <a:ext uri="{FF2B5EF4-FFF2-40B4-BE49-F238E27FC236}">
              <a16:creationId xmlns:a16="http://schemas.microsoft.com/office/drawing/2014/main" id="{247939D7-D920-C32E-7883-6F593CBF1430}"/>
            </a:ext>
          </a:extLst>
        </xdr:cNvPr>
        <xdr:cNvCxnSpPr/>
      </xdr:nvCxnSpPr>
      <xdr:spPr>
        <a:xfrm flipH="1">
          <a:off x="2787650" y="9874250"/>
          <a:ext cx="4000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22</xdr:row>
      <xdr:rowOff>0</xdr:rowOff>
    </xdr:from>
    <xdr:to>
      <xdr:col>9</xdr:col>
      <xdr:colOff>0</xdr:colOff>
      <xdr:row>24</xdr:row>
      <xdr:rowOff>0</xdr:rowOff>
    </xdr:to>
    <xdr:cxnSp macro="">
      <xdr:nvCxnSpPr>
        <xdr:cNvPr id="9" name="DiagLine8">
          <a:extLst>
            <a:ext uri="{FF2B5EF4-FFF2-40B4-BE49-F238E27FC236}">
              <a16:creationId xmlns:a16="http://schemas.microsoft.com/office/drawing/2014/main" id="{80B75944-E707-B63D-31C0-1F3131125FE5}"/>
            </a:ext>
          </a:extLst>
        </xdr:cNvPr>
        <xdr:cNvCxnSpPr/>
      </xdr:nvCxnSpPr>
      <xdr:spPr>
        <a:xfrm flipH="1">
          <a:off x="3187700" y="9874250"/>
          <a:ext cx="4000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22</xdr:row>
      <xdr:rowOff>0</xdr:rowOff>
    </xdr:from>
    <xdr:to>
      <xdr:col>10</xdr:col>
      <xdr:colOff>0</xdr:colOff>
      <xdr:row>24</xdr:row>
      <xdr:rowOff>0</xdr:rowOff>
    </xdr:to>
    <xdr:cxnSp macro="">
      <xdr:nvCxnSpPr>
        <xdr:cNvPr id="10" name="DiagLine9">
          <a:extLst>
            <a:ext uri="{FF2B5EF4-FFF2-40B4-BE49-F238E27FC236}">
              <a16:creationId xmlns:a16="http://schemas.microsoft.com/office/drawing/2014/main" id="{1455CF95-C79E-C490-3F4F-C6069F7CF681}"/>
            </a:ext>
          </a:extLst>
        </xdr:cNvPr>
        <xdr:cNvCxnSpPr/>
      </xdr:nvCxnSpPr>
      <xdr:spPr>
        <a:xfrm flipH="1">
          <a:off x="3587750" y="9874250"/>
          <a:ext cx="4000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22</xdr:row>
      <xdr:rowOff>0</xdr:rowOff>
    </xdr:from>
    <xdr:to>
      <xdr:col>11</xdr:col>
      <xdr:colOff>0</xdr:colOff>
      <xdr:row>24</xdr:row>
      <xdr:rowOff>0</xdr:rowOff>
    </xdr:to>
    <xdr:cxnSp macro="">
      <xdr:nvCxnSpPr>
        <xdr:cNvPr id="11" name="DiagLine10">
          <a:extLst>
            <a:ext uri="{FF2B5EF4-FFF2-40B4-BE49-F238E27FC236}">
              <a16:creationId xmlns:a16="http://schemas.microsoft.com/office/drawing/2014/main" id="{1ABECE1E-5452-05A9-C6C0-98DD48142E42}"/>
            </a:ext>
          </a:extLst>
        </xdr:cNvPr>
        <xdr:cNvCxnSpPr/>
      </xdr:nvCxnSpPr>
      <xdr:spPr>
        <a:xfrm flipH="1">
          <a:off x="3987800" y="9874250"/>
          <a:ext cx="4000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22</xdr:row>
      <xdr:rowOff>0</xdr:rowOff>
    </xdr:from>
    <xdr:to>
      <xdr:col>12</xdr:col>
      <xdr:colOff>0</xdr:colOff>
      <xdr:row>24</xdr:row>
      <xdr:rowOff>0</xdr:rowOff>
    </xdr:to>
    <xdr:cxnSp macro="">
      <xdr:nvCxnSpPr>
        <xdr:cNvPr id="12" name="DiagLine11">
          <a:extLst>
            <a:ext uri="{FF2B5EF4-FFF2-40B4-BE49-F238E27FC236}">
              <a16:creationId xmlns:a16="http://schemas.microsoft.com/office/drawing/2014/main" id="{BB249469-5C97-2F4F-AB08-0DB4D842CFC0}"/>
            </a:ext>
          </a:extLst>
        </xdr:cNvPr>
        <xdr:cNvCxnSpPr/>
      </xdr:nvCxnSpPr>
      <xdr:spPr>
        <a:xfrm flipH="1">
          <a:off x="4387850" y="9874250"/>
          <a:ext cx="4000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22</xdr:row>
      <xdr:rowOff>0</xdr:rowOff>
    </xdr:from>
    <xdr:to>
      <xdr:col>13</xdr:col>
      <xdr:colOff>0</xdr:colOff>
      <xdr:row>24</xdr:row>
      <xdr:rowOff>0</xdr:rowOff>
    </xdr:to>
    <xdr:cxnSp macro="">
      <xdr:nvCxnSpPr>
        <xdr:cNvPr id="13" name="DiagLine12">
          <a:extLst>
            <a:ext uri="{FF2B5EF4-FFF2-40B4-BE49-F238E27FC236}">
              <a16:creationId xmlns:a16="http://schemas.microsoft.com/office/drawing/2014/main" id="{0F587BB2-044F-05AC-D9C9-382A8350AE6D}"/>
            </a:ext>
          </a:extLst>
        </xdr:cNvPr>
        <xdr:cNvCxnSpPr/>
      </xdr:nvCxnSpPr>
      <xdr:spPr>
        <a:xfrm flipH="1">
          <a:off x="4787900" y="9874250"/>
          <a:ext cx="4000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22</xdr:row>
      <xdr:rowOff>0</xdr:rowOff>
    </xdr:from>
    <xdr:to>
      <xdr:col>14</xdr:col>
      <xdr:colOff>0</xdr:colOff>
      <xdr:row>24</xdr:row>
      <xdr:rowOff>0</xdr:rowOff>
    </xdr:to>
    <xdr:cxnSp macro="">
      <xdr:nvCxnSpPr>
        <xdr:cNvPr id="14" name="DiagLine13">
          <a:extLst>
            <a:ext uri="{FF2B5EF4-FFF2-40B4-BE49-F238E27FC236}">
              <a16:creationId xmlns:a16="http://schemas.microsoft.com/office/drawing/2014/main" id="{B8AEBA7C-8EAC-A772-64A0-6D681FF486EB}"/>
            </a:ext>
          </a:extLst>
        </xdr:cNvPr>
        <xdr:cNvCxnSpPr/>
      </xdr:nvCxnSpPr>
      <xdr:spPr>
        <a:xfrm flipH="1">
          <a:off x="5187950" y="9874250"/>
          <a:ext cx="4000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22</xdr:row>
      <xdr:rowOff>0</xdr:rowOff>
    </xdr:from>
    <xdr:to>
      <xdr:col>16</xdr:col>
      <xdr:colOff>0</xdr:colOff>
      <xdr:row>24</xdr:row>
      <xdr:rowOff>0</xdr:rowOff>
    </xdr:to>
    <xdr:cxnSp macro="">
      <xdr:nvCxnSpPr>
        <xdr:cNvPr id="15" name="DiagLine14">
          <a:extLst>
            <a:ext uri="{FF2B5EF4-FFF2-40B4-BE49-F238E27FC236}">
              <a16:creationId xmlns:a16="http://schemas.microsoft.com/office/drawing/2014/main" id="{1E16638C-B283-8B25-2226-A5C5B81EE3D1}"/>
            </a:ext>
          </a:extLst>
        </xdr:cNvPr>
        <xdr:cNvCxnSpPr/>
      </xdr:nvCxnSpPr>
      <xdr:spPr>
        <a:xfrm flipH="1">
          <a:off x="5988050" y="9874250"/>
          <a:ext cx="4000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17</xdr:col>
          <xdr:colOff>68580</xdr:colOff>
          <xdr:row>3</xdr:row>
          <xdr:rowOff>45720</xdr:rowOff>
        </xdr:from>
        <xdr:to>
          <xdr:col>18</xdr:col>
          <xdr:colOff>601980</xdr:colOff>
          <xdr:row>3</xdr:row>
          <xdr:rowOff>350520</xdr:rowOff>
        </xdr:to>
        <xdr:sp macro="" textlink="">
          <xdr:nvSpPr>
            <xdr:cNvPr id="3073" name="Btn_0"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900" b="0" i="0" u="none" strike="noStrike" baseline="0">
                  <a:solidFill>
                    <a:srgbClr val="000000"/>
                  </a:solidFill>
                  <a:latin typeface="メイリオ"/>
                  <a:ea typeface="メイリオ"/>
                </a:rPr>
                <a:t>新しい週を追加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68580</xdr:colOff>
          <xdr:row>3</xdr:row>
          <xdr:rowOff>449580</xdr:rowOff>
        </xdr:from>
        <xdr:to>
          <xdr:col>18</xdr:col>
          <xdr:colOff>601980</xdr:colOff>
          <xdr:row>4</xdr:row>
          <xdr:rowOff>60960</xdr:rowOff>
        </xdr:to>
        <xdr:sp macro="" textlink="">
          <xdr:nvSpPr>
            <xdr:cNvPr id="3074" name="Btn_1"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900" b="0" i="0" u="none" strike="noStrike" baseline="0">
                  <a:solidFill>
                    <a:srgbClr val="000000"/>
                  </a:solidFill>
                  <a:latin typeface="メイリオ"/>
                  <a:ea typeface="メイリオ"/>
                </a:rPr>
                <a:t>時間割を再展開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68580</xdr:colOff>
          <xdr:row>4</xdr:row>
          <xdr:rowOff>160020</xdr:rowOff>
        </xdr:from>
        <xdr:to>
          <xdr:col>18</xdr:col>
          <xdr:colOff>601980</xdr:colOff>
          <xdr:row>5</xdr:row>
          <xdr:rowOff>236220</xdr:rowOff>
        </xdr:to>
        <xdr:sp macro="" textlink="">
          <xdr:nvSpPr>
            <xdr:cNvPr id="3075" name="Btn_2" hidden="1">
              <a:extLst>
                <a:ext uri="{63B3BB69-23CF-44E3-9099-C40C66FF867C}">
                  <a14:compatExt spid="_x0000_s3075"/>
                </a:ext>
                <a:ext uri="{FF2B5EF4-FFF2-40B4-BE49-F238E27FC236}">
                  <a16:creationId xmlns:a16="http://schemas.microsoft.com/office/drawing/2014/main" id="{00000000-0008-0000-0300-0000030C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900" b="0" i="0" u="none" strike="noStrike" baseline="0">
                  <a:solidFill>
                    <a:srgbClr val="000000"/>
                  </a:solidFill>
                  <a:latin typeface="メイリオ"/>
                  <a:ea typeface="メイリオ"/>
                </a:rPr>
                <a:t>累計を更新</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0</xdr:colOff>
      <xdr:row>22</xdr:row>
      <xdr:rowOff>0</xdr:rowOff>
    </xdr:from>
    <xdr:to>
      <xdr:col>2</xdr:col>
      <xdr:colOff>0</xdr:colOff>
      <xdr:row>24</xdr:row>
      <xdr:rowOff>0</xdr:rowOff>
    </xdr:to>
    <xdr:cxnSp macro="">
      <xdr:nvCxnSpPr>
        <xdr:cNvPr id="2" name="DiagLine1">
          <a:extLst>
            <a:ext uri="{FF2B5EF4-FFF2-40B4-BE49-F238E27FC236}">
              <a16:creationId xmlns:a16="http://schemas.microsoft.com/office/drawing/2014/main" id="{E0E8B00A-2A2B-27E9-C024-A10E47773EE3}"/>
            </a:ext>
          </a:extLst>
        </xdr:cNvPr>
        <xdr:cNvCxnSpPr/>
      </xdr:nvCxnSpPr>
      <xdr:spPr>
        <a:xfrm flipH="1">
          <a:off x="387350" y="9874250"/>
          <a:ext cx="4000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22</xdr:row>
      <xdr:rowOff>0</xdr:rowOff>
    </xdr:from>
    <xdr:to>
      <xdr:col>3</xdr:col>
      <xdr:colOff>0</xdr:colOff>
      <xdr:row>24</xdr:row>
      <xdr:rowOff>0</xdr:rowOff>
    </xdr:to>
    <xdr:cxnSp macro="">
      <xdr:nvCxnSpPr>
        <xdr:cNvPr id="3" name="DiagLine2">
          <a:extLst>
            <a:ext uri="{FF2B5EF4-FFF2-40B4-BE49-F238E27FC236}">
              <a16:creationId xmlns:a16="http://schemas.microsoft.com/office/drawing/2014/main" id="{6AC03D0B-42C1-A15A-8C69-44F93BA989BA}"/>
            </a:ext>
          </a:extLst>
        </xdr:cNvPr>
        <xdr:cNvCxnSpPr/>
      </xdr:nvCxnSpPr>
      <xdr:spPr>
        <a:xfrm flipH="1">
          <a:off x="787400" y="9874250"/>
          <a:ext cx="4000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0</xdr:rowOff>
    </xdr:from>
    <xdr:to>
      <xdr:col>4</xdr:col>
      <xdr:colOff>0</xdr:colOff>
      <xdr:row>24</xdr:row>
      <xdr:rowOff>0</xdr:rowOff>
    </xdr:to>
    <xdr:cxnSp macro="">
      <xdr:nvCxnSpPr>
        <xdr:cNvPr id="4" name="DiagLine3">
          <a:extLst>
            <a:ext uri="{FF2B5EF4-FFF2-40B4-BE49-F238E27FC236}">
              <a16:creationId xmlns:a16="http://schemas.microsoft.com/office/drawing/2014/main" id="{BEE1F07B-6784-352F-A52F-1D42A8408716}"/>
            </a:ext>
          </a:extLst>
        </xdr:cNvPr>
        <xdr:cNvCxnSpPr/>
      </xdr:nvCxnSpPr>
      <xdr:spPr>
        <a:xfrm flipH="1">
          <a:off x="1187450" y="9874250"/>
          <a:ext cx="4000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22</xdr:row>
      <xdr:rowOff>0</xdr:rowOff>
    </xdr:from>
    <xdr:to>
      <xdr:col>5</xdr:col>
      <xdr:colOff>0</xdr:colOff>
      <xdr:row>24</xdr:row>
      <xdr:rowOff>0</xdr:rowOff>
    </xdr:to>
    <xdr:cxnSp macro="">
      <xdr:nvCxnSpPr>
        <xdr:cNvPr id="5" name="DiagLine4">
          <a:extLst>
            <a:ext uri="{FF2B5EF4-FFF2-40B4-BE49-F238E27FC236}">
              <a16:creationId xmlns:a16="http://schemas.microsoft.com/office/drawing/2014/main" id="{04E4048F-12F8-CF84-9BEA-EE9C058996E4}"/>
            </a:ext>
          </a:extLst>
        </xdr:cNvPr>
        <xdr:cNvCxnSpPr/>
      </xdr:nvCxnSpPr>
      <xdr:spPr>
        <a:xfrm flipH="1">
          <a:off x="1587500" y="9874250"/>
          <a:ext cx="4000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22</xdr:row>
      <xdr:rowOff>0</xdr:rowOff>
    </xdr:from>
    <xdr:to>
      <xdr:col>6</xdr:col>
      <xdr:colOff>0</xdr:colOff>
      <xdr:row>24</xdr:row>
      <xdr:rowOff>0</xdr:rowOff>
    </xdr:to>
    <xdr:cxnSp macro="">
      <xdr:nvCxnSpPr>
        <xdr:cNvPr id="6" name="DiagLine5">
          <a:extLst>
            <a:ext uri="{FF2B5EF4-FFF2-40B4-BE49-F238E27FC236}">
              <a16:creationId xmlns:a16="http://schemas.microsoft.com/office/drawing/2014/main" id="{A927F5D7-3549-A9E5-D64E-4F3D7AB68546}"/>
            </a:ext>
          </a:extLst>
        </xdr:cNvPr>
        <xdr:cNvCxnSpPr/>
      </xdr:nvCxnSpPr>
      <xdr:spPr>
        <a:xfrm flipH="1">
          <a:off x="1987550" y="9874250"/>
          <a:ext cx="4000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22</xdr:row>
      <xdr:rowOff>0</xdr:rowOff>
    </xdr:from>
    <xdr:to>
      <xdr:col>7</xdr:col>
      <xdr:colOff>0</xdr:colOff>
      <xdr:row>24</xdr:row>
      <xdr:rowOff>0</xdr:rowOff>
    </xdr:to>
    <xdr:cxnSp macro="">
      <xdr:nvCxnSpPr>
        <xdr:cNvPr id="7" name="DiagLine6">
          <a:extLst>
            <a:ext uri="{FF2B5EF4-FFF2-40B4-BE49-F238E27FC236}">
              <a16:creationId xmlns:a16="http://schemas.microsoft.com/office/drawing/2014/main" id="{BB4EA334-AF19-76A6-911F-CFED5902DEB3}"/>
            </a:ext>
          </a:extLst>
        </xdr:cNvPr>
        <xdr:cNvCxnSpPr/>
      </xdr:nvCxnSpPr>
      <xdr:spPr>
        <a:xfrm flipH="1">
          <a:off x="2387600" y="9874250"/>
          <a:ext cx="4000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22</xdr:row>
      <xdr:rowOff>0</xdr:rowOff>
    </xdr:from>
    <xdr:to>
      <xdr:col>8</xdr:col>
      <xdr:colOff>0</xdr:colOff>
      <xdr:row>24</xdr:row>
      <xdr:rowOff>0</xdr:rowOff>
    </xdr:to>
    <xdr:cxnSp macro="">
      <xdr:nvCxnSpPr>
        <xdr:cNvPr id="8" name="DiagLine7">
          <a:extLst>
            <a:ext uri="{FF2B5EF4-FFF2-40B4-BE49-F238E27FC236}">
              <a16:creationId xmlns:a16="http://schemas.microsoft.com/office/drawing/2014/main" id="{39E3A218-8AAC-842E-878B-17CB1D72709C}"/>
            </a:ext>
          </a:extLst>
        </xdr:cNvPr>
        <xdr:cNvCxnSpPr/>
      </xdr:nvCxnSpPr>
      <xdr:spPr>
        <a:xfrm flipH="1">
          <a:off x="2787650" y="9874250"/>
          <a:ext cx="4000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22</xdr:row>
      <xdr:rowOff>0</xdr:rowOff>
    </xdr:from>
    <xdr:to>
      <xdr:col>9</xdr:col>
      <xdr:colOff>0</xdr:colOff>
      <xdr:row>24</xdr:row>
      <xdr:rowOff>0</xdr:rowOff>
    </xdr:to>
    <xdr:cxnSp macro="">
      <xdr:nvCxnSpPr>
        <xdr:cNvPr id="9" name="DiagLine8">
          <a:extLst>
            <a:ext uri="{FF2B5EF4-FFF2-40B4-BE49-F238E27FC236}">
              <a16:creationId xmlns:a16="http://schemas.microsoft.com/office/drawing/2014/main" id="{A9873F9D-AD04-F47B-D2C6-4ED279CE0635}"/>
            </a:ext>
          </a:extLst>
        </xdr:cNvPr>
        <xdr:cNvCxnSpPr/>
      </xdr:nvCxnSpPr>
      <xdr:spPr>
        <a:xfrm flipH="1">
          <a:off x="3187700" y="9874250"/>
          <a:ext cx="4000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22</xdr:row>
      <xdr:rowOff>0</xdr:rowOff>
    </xdr:from>
    <xdr:to>
      <xdr:col>10</xdr:col>
      <xdr:colOff>0</xdr:colOff>
      <xdr:row>24</xdr:row>
      <xdr:rowOff>0</xdr:rowOff>
    </xdr:to>
    <xdr:cxnSp macro="">
      <xdr:nvCxnSpPr>
        <xdr:cNvPr id="10" name="DiagLine9">
          <a:extLst>
            <a:ext uri="{FF2B5EF4-FFF2-40B4-BE49-F238E27FC236}">
              <a16:creationId xmlns:a16="http://schemas.microsoft.com/office/drawing/2014/main" id="{D1C19B75-7A82-85A6-A08A-53A8F4D750A3}"/>
            </a:ext>
          </a:extLst>
        </xdr:cNvPr>
        <xdr:cNvCxnSpPr/>
      </xdr:nvCxnSpPr>
      <xdr:spPr>
        <a:xfrm flipH="1">
          <a:off x="3587750" y="9874250"/>
          <a:ext cx="4000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22</xdr:row>
      <xdr:rowOff>0</xdr:rowOff>
    </xdr:from>
    <xdr:to>
      <xdr:col>11</xdr:col>
      <xdr:colOff>0</xdr:colOff>
      <xdr:row>24</xdr:row>
      <xdr:rowOff>0</xdr:rowOff>
    </xdr:to>
    <xdr:cxnSp macro="">
      <xdr:nvCxnSpPr>
        <xdr:cNvPr id="11" name="DiagLine10">
          <a:extLst>
            <a:ext uri="{FF2B5EF4-FFF2-40B4-BE49-F238E27FC236}">
              <a16:creationId xmlns:a16="http://schemas.microsoft.com/office/drawing/2014/main" id="{2498C50D-4E88-D45F-6B3E-A11124344614}"/>
            </a:ext>
          </a:extLst>
        </xdr:cNvPr>
        <xdr:cNvCxnSpPr/>
      </xdr:nvCxnSpPr>
      <xdr:spPr>
        <a:xfrm flipH="1">
          <a:off x="3987800" y="9874250"/>
          <a:ext cx="4000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22</xdr:row>
      <xdr:rowOff>0</xdr:rowOff>
    </xdr:from>
    <xdr:to>
      <xdr:col>12</xdr:col>
      <xdr:colOff>0</xdr:colOff>
      <xdr:row>24</xdr:row>
      <xdr:rowOff>0</xdr:rowOff>
    </xdr:to>
    <xdr:cxnSp macro="">
      <xdr:nvCxnSpPr>
        <xdr:cNvPr id="12" name="DiagLine11">
          <a:extLst>
            <a:ext uri="{FF2B5EF4-FFF2-40B4-BE49-F238E27FC236}">
              <a16:creationId xmlns:a16="http://schemas.microsoft.com/office/drawing/2014/main" id="{7B08E2B7-82B2-D709-FB7E-D11788208233}"/>
            </a:ext>
          </a:extLst>
        </xdr:cNvPr>
        <xdr:cNvCxnSpPr/>
      </xdr:nvCxnSpPr>
      <xdr:spPr>
        <a:xfrm flipH="1">
          <a:off x="4387850" y="9874250"/>
          <a:ext cx="4000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22</xdr:row>
      <xdr:rowOff>0</xdr:rowOff>
    </xdr:from>
    <xdr:to>
      <xdr:col>13</xdr:col>
      <xdr:colOff>0</xdr:colOff>
      <xdr:row>24</xdr:row>
      <xdr:rowOff>0</xdr:rowOff>
    </xdr:to>
    <xdr:cxnSp macro="">
      <xdr:nvCxnSpPr>
        <xdr:cNvPr id="13" name="DiagLine12">
          <a:extLst>
            <a:ext uri="{FF2B5EF4-FFF2-40B4-BE49-F238E27FC236}">
              <a16:creationId xmlns:a16="http://schemas.microsoft.com/office/drawing/2014/main" id="{14187DD0-9138-A327-F6E7-5B7BD558428B}"/>
            </a:ext>
          </a:extLst>
        </xdr:cNvPr>
        <xdr:cNvCxnSpPr/>
      </xdr:nvCxnSpPr>
      <xdr:spPr>
        <a:xfrm flipH="1">
          <a:off x="4787900" y="9874250"/>
          <a:ext cx="4000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22</xdr:row>
      <xdr:rowOff>0</xdr:rowOff>
    </xdr:from>
    <xdr:to>
      <xdr:col>14</xdr:col>
      <xdr:colOff>0</xdr:colOff>
      <xdr:row>24</xdr:row>
      <xdr:rowOff>0</xdr:rowOff>
    </xdr:to>
    <xdr:cxnSp macro="">
      <xdr:nvCxnSpPr>
        <xdr:cNvPr id="14" name="DiagLine13">
          <a:extLst>
            <a:ext uri="{FF2B5EF4-FFF2-40B4-BE49-F238E27FC236}">
              <a16:creationId xmlns:a16="http://schemas.microsoft.com/office/drawing/2014/main" id="{32FEF6F2-1010-42B5-911F-C549552A88DD}"/>
            </a:ext>
          </a:extLst>
        </xdr:cNvPr>
        <xdr:cNvCxnSpPr/>
      </xdr:nvCxnSpPr>
      <xdr:spPr>
        <a:xfrm flipH="1">
          <a:off x="5187950" y="9874250"/>
          <a:ext cx="4000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22</xdr:row>
      <xdr:rowOff>0</xdr:rowOff>
    </xdr:from>
    <xdr:to>
      <xdr:col>16</xdr:col>
      <xdr:colOff>0</xdr:colOff>
      <xdr:row>24</xdr:row>
      <xdr:rowOff>0</xdr:rowOff>
    </xdr:to>
    <xdr:cxnSp macro="">
      <xdr:nvCxnSpPr>
        <xdr:cNvPr id="15" name="DiagLine14">
          <a:extLst>
            <a:ext uri="{FF2B5EF4-FFF2-40B4-BE49-F238E27FC236}">
              <a16:creationId xmlns:a16="http://schemas.microsoft.com/office/drawing/2014/main" id="{FDB67D0F-F1A3-9CFC-7A9E-DE1A6E5AA29E}"/>
            </a:ext>
          </a:extLst>
        </xdr:cNvPr>
        <xdr:cNvCxnSpPr/>
      </xdr:nvCxnSpPr>
      <xdr:spPr>
        <a:xfrm flipH="1">
          <a:off x="5988050" y="9874250"/>
          <a:ext cx="4000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17</xdr:col>
          <xdr:colOff>68580</xdr:colOff>
          <xdr:row>3</xdr:row>
          <xdr:rowOff>45720</xdr:rowOff>
        </xdr:from>
        <xdr:to>
          <xdr:col>18</xdr:col>
          <xdr:colOff>601980</xdr:colOff>
          <xdr:row>3</xdr:row>
          <xdr:rowOff>350520</xdr:rowOff>
        </xdr:to>
        <xdr:sp macro="" textlink="">
          <xdr:nvSpPr>
            <xdr:cNvPr id="4097" name="Btn_0"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900" b="0" i="0" u="none" strike="noStrike" baseline="0">
                  <a:solidFill>
                    <a:srgbClr val="000000"/>
                  </a:solidFill>
                  <a:latin typeface="メイリオ"/>
                  <a:ea typeface="メイリオ"/>
                </a:rPr>
                <a:t>新しい週を追加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68580</xdr:colOff>
          <xdr:row>3</xdr:row>
          <xdr:rowOff>449580</xdr:rowOff>
        </xdr:from>
        <xdr:to>
          <xdr:col>18</xdr:col>
          <xdr:colOff>601980</xdr:colOff>
          <xdr:row>4</xdr:row>
          <xdr:rowOff>60960</xdr:rowOff>
        </xdr:to>
        <xdr:sp macro="" textlink="">
          <xdr:nvSpPr>
            <xdr:cNvPr id="4098" name="Btn_1" hidden="1">
              <a:extLst>
                <a:ext uri="{63B3BB69-23CF-44E3-9099-C40C66FF867C}">
                  <a14:compatExt spid="_x0000_s4098"/>
                </a:ext>
                <a:ext uri="{FF2B5EF4-FFF2-40B4-BE49-F238E27FC236}">
                  <a16:creationId xmlns:a16="http://schemas.microsoft.com/office/drawing/2014/main" id="{00000000-0008-0000-0400-0000021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900" b="0" i="0" u="none" strike="noStrike" baseline="0">
                  <a:solidFill>
                    <a:srgbClr val="000000"/>
                  </a:solidFill>
                  <a:latin typeface="メイリオ"/>
                  <a:ea typeface="メイリオ"/>
                </a:rPr>
                <a:t>時間割を再展開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68580</xdr:colOff>
          <xdr:row>4</xdr:row>
          <xdr:rowOff>160020</xdr:rowOff>
        </xdr:from>
        <xdr:to>
          <xdr:col>18</xdr:col>
          <xdr:colOff>601980</xdr:colOff>
          <xdr:row>5</xdr:row>
          <xdr:rowOff>236220</xdr:rowOff>
        </xdr:to>
        <xdr:sp macro="" textlink="">
          <xdr:nvSpPr>
            <xdr:cNvPr id="4099" name="Btn_2" hidden="1">
              <a:extLst>
                <a:ext uri="{63B3BB69-23CF-44E3-9099-C40C66FF867C}">
                  <a14:compatExt spid="_x0000_s4099"/>
                </a:ext>
                <a:ext uri="{FF2B5EF4-FFF2-40B4-BE49-F238E27FC236}">
                  <a16:creationId xmlns:a16="http://schemas.microsoft.com/office/drawing/2014/main" id="{00000000-0008-0000-0400-0000031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900" b="0" i="0" u="none" strike="noStrike" baseline="0">
                  <a:solidFill>
                    <a:srgbClr val="000000"/>
                  </a:solidFill>
                  <a:latin typeface="メイリオ"/>
                  <a:ea typeface="メイリオ"/>
                </a:rPr>
                <a:t>累計を更新</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0</xdr:colOff>
      <xdr:row>22</xdr:row>
      <xdr:rowOff>0</xdr:rowOff>
    </xdr:from>
    <xdr:to>
      <xdr:col>2</xdr:col>
      <xdr:colOff>0</xdr:colOff>
      <xdr:row>24</xdr:row>
      <xdr:rowOff>0</xdr:rowOff>
    </xdr:to>
    <xdr:cxnSp macro="">
      <xdr:nvCxnSpPr>
        <xdr:cNvPr id="2" name="DiagLine1">
          <a:extLst>
            <a:ext uri="{FF2B5EF4-FFF2-40B4-BE49-F238E27FC236}">
              <a16:creationId xmlns:a16="http://schemas.microsoft.com/office/drawing/2014/main" id="{E0F04941-D201-778E-E919-121B5D7E3DE8}"/>
            </a:ext>
          </a:extLst>
        </xdr:cNvPr>
        <xdr:cNvCxnSpPr/>
      </xdr:nvCxnSpPr>
      <xdr:spPr>
        <a:xfrm flipH="1">
          <a:off x="4191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22</xdr:row>
      <xdr:rowOff>0</xdr:rowOff>
    </xdr:from>
    <xdr:to>
      <xdr:col>3</xdr:col>
      <xdr:colOff>0</xdr:colOff>
      <xdr:row>24</xdr:row>
      <xdr:rowOff>0</xdr:rowOff>
    </xdr:to>
    <xdr:cxnSp macro="">
      <xdr:nvCxnSpPr>
        <xdr:cNvPr id="3" name="DiagLine2">
          <a:extLst>
            <a:ext uri="{FF2B5EF4-FFF2-40B4-BE49-F238E27FC236}">
              <a16:creationId xmlns:a16="http://schemas.microsoft.com/office/drawing/2014/main" id="{99CB6EC3-AA71-AF51-E0AD-3EB419EA46A3}"/>
            </a:ext>
          </a:extLst>
        </xdr:cNvPr>
        <xdr:cNvCxnSpPr/>
      </xdr:nvCxnSpPr>
      <xdr:spPr>
        <a:xfrm flipH="1">
          <a:off x="8572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0</xdr:rowOff>
    </xdr:from>
    <xdr:to>
      <xdr:col>4</xdr:col>
      <xdr:colOff>0</xdr:colOff>
      <xdr:row>24</xdr:row>
      <xdr:rowOff>0</xdr:rowOff>
    </xdr:to>
    <xdr:cxnSp macro="">
      <xdr:nvCxnSpPr>
        <xdr:cNvPr id="4" name="DiagLine3">
          <a:extLst>
            <a:ext uri="{FF2B5EF4-FFF2-40B4-BE49-F238E27FC236}">
              <a16:creationId xmlns:a16="http://schemas.microsoft.com/office/drawing/2014/main" id="{563D9345-D15C-6EAB-1831-CDCF4DBBDA3E}"/>
            </a:ext>
          </a:extLst>
        </xdr:cNvPr>
        <xdr:cNvCxnSpPr/>
      </xdr:nvCxnSpPr>
      <xdr:spPr>
        <a:xfrm flipH="1">
          <a:off x="12954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22</xdr:row>
      <xdr:rowOff>0</xdr:rowOff>
    </xdr:from>
    <xdr:to>
      <xdr:col>5</xdr:col>
      <xdr:colOff>0</xdr:colOff>
      <xdr:row>24</xdr:row>
      <xdr:rowOff>0</xdr:rowOff>
    </xdr:to>
    <xdr:cxnSp macro="">
      <xdr:nvCxnSpPr>
        <xdr:cNvPr id="5" name="DiagLine4">
          <a:extLst>
            <a:ext uri="{FF2B5EF4-FFF2-40B4-BE49-F238E27FC236}">
              <a16:creationId xmlns:a16="http://schemas.microsoft.com/office/drawing/2014/main" id="{5C13572A-DBCE-741D-EF6D-447F5677AE15}"/>
            </a:ext>
          </a:extLst>
        </xdr:cNvPr>
        <xdr:cNvCxnSpPr/>
      </xdr:nvCxnSpPr>
      <xdr:spPr>
        <a:xfrm flipH="1">
          <a:off x="17335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22</xdr:row>
      <xdr:rowOff>0</xdr:rowOff>
    </xdr:from>
    <xdr:to>
      <xdr:col>6</xdr:col>
      <xdr:colOff>0</xdr:colOff>
      <xdr:row>24</xdr:row>
      <xdr:rowOff>0</xdr:rowOff>
    </xdr:to>
    <xdr:cxnSp macro="">
      <xdr:nvCxnSpPr>
        <xdr:cNvPr id="6" name="DiagLine5">
          <a:extLst>
            <a:ext uri="{FF2B5EF4-FFF2-40B4-BE49-F238E27FC236}">
              <a16:creationId xmlns:a16="http://schemas.microsoft.com/office/drawing/2014/main" id="{D5E21877-5BA2-C8C2-34A7-8C02F2A8460D}"/>
            </a:ext>
          </a:extLst>
        </xdr:cNvPr>
        <xdr:cNvCxnSpPr/>
      </xdr:nvCxnSpPr>
      <xdr:spPr>
        <a:xfrm flipH="1">
          <a:off x="21717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22</xdr:row>
      <xdr:rowOff>0</xdr:rowOff>
    </xdr:from>
    <xdr:to>
      <xdr:col>7</xdr:col>
      <xdr:colOff>0</xdr:colOff>
      <xdr:row>24</xdr:row>
      <xdr:rowOff>0</xdr:rowOff>
    </xdr:to>
    <xdr:cxnSp macro="">
      <xdr:nvCxnSpPr>
        <xdr:cNvPr id="7" name="DiagLine6">
          <a:extLst>
            <a:ext uri="{FF2B5EF4-FFF2-40B4-BE49-F238E27FC236}">
              <a16:creationId xmlns:a16="http://schemas.microsoft.com/office/drawing/2014/main" id="{54B35372-B3DB-8955-49F1-8576A9EC96A0}"/>
            </a:ext>
          </a:extLst>
        </xdr:cNvPr>
        <xdr:cNvCxnSpPr/>
      </xdr:nvCxnSpPr>
      <xdr:spPr>
        <a:xfrm flipH="1">
          <a:off x="26098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22</xdr:row>
      <xdr:rowOff>0</xdr:rowOff>
    </xdr:from>
    <xdr:to>
      <xdr:col>8</xdr:col>
      <xdr:colOff>0</xdr:colOff>
      <xdr:row>24</xdr:row>
      <xdr:rowOff>0</xdr:rowOff>
    </xdr:to>
    <xdr:cxnSp macro="">
      <xdr:nvCxnSpPr>
        <xdr:cNvPr id="8" name="DiagLine7">
          <a:extLst>
            <a:ext uri="{FF2B5EF4-FFF2-40B4-BE49-F238E27FC236}">
              <a16:creationId xmlns:a16="http://schemas.microsoft.com/office/drawing/2014/main" id="{D783E5A7-FC93-D582-A217-2DB4B4B7F68E}"/>
            </a:ext>
          </a:extLst>
        </xdr:cNvPr>
        <xdr:cNvCxnSpPr/>
      </xdr:nvCxnSpPr>
      <xdr:spPr>
        <a:xfrm flipH="1">
          <a:off x="30480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22</xdr:row>
      <xdr:rowOff>0</xdr:rowOff>
    </xdr:from>
    <xdr:to>
      <xdr:col>9</xdr:col>
      <xdr:colOff>0</xdr:colOff>
      <xdr:row>24</xdr:row>
      <xdr:rowOff>0</xdr:rowOff>
    </xdr:to>
    <xdr:cxnSp macro="">
      <xdr:nvCxnSpPr>
        <xdr:cNvPr id="9" name="DiagLine8">
          <a:extLst>
            <a:ext uri="{FF2B5EF4-FFF2-40B4-BE49-F238E27FC236}">
              <a16:creationId xmlns:a16="http://schemas.microsoft.com/office/drawing/2014/main" id="{51C15220-395F-8FA0-609F-1AB169B676CD}"/>
            </a:ext>
          </a:extLst>
        </xdr:cNvPr>
        <xdr:cNvCxnSpPr/>
      </xdr:nvCxnSpPr>
      <xdr:spPr>
        <a:xfrm flipH="1">
          <a:off x="34861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22</xdr:row>
      <xdr:rowOff>0</xdr:rowOff>
    </xdr:from>
    <xdr:to>
      <xdr:col>10</xdr:col>
      <xdr:colOff>0</xdr:colOff>
      <xdr:row>24</xdr:row>
      <xdr:rowOff>0</xdr:rowOff>
    </xdr:to>
    <xdr:cxnSp macro="">
      <xdr:nvCxnSpPr>
        <xdr:cNvPr id="10" name="DiagLine9">
          <a:extLst>
            <a:ext uri="{FF2B5EF4-FFF2-40B4-BE49-F238E27FC236}">
              <a16:creationId xmlns:a16="http://schemas.microsoft.com/office/drawing/2014/main" id="{92873724-70DB-0C0B-24D2-D232719DA7EC}"/>
            </a:ext>
          </a:extLst>
        </xdr:cNvPr>
        <xdr:cNvCxnSpPr/>
      </xdr:nvCxnSpPr>
      <xdr:spPr>
        <a:xfrm flipH="1">
          <a:off x="39243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22</xdr:row>
      <xdr:rowOff>0</xdr:rowOff>
    </xdr:from>
    <xdr:to>
      <xdr:col>11</xdr:col>
      <xdr:colOff>0</xdr:colOff>
      <xdr:row>24</xdr:row>
      <xdr:rowOff>0</xdr:rowOff>
    </xdr:to>
    <xdr:cxnSp macro="">
      <xdr:nvCxnSpPr>
        <xdr:cNvPr id="11" name="DiagLine10">
          <a:extLst>
            <a:ext uri="{FF2B5EF4-FFF2-40B4-BE49-F238E27FC236}">
              <a16:creationId xmlns:a16="http://schemas.microsoft.com/office/drawing/2014/main" id="{BF75587C-1CFF-CFA1-89AE-0F8C527F8543}"/>
            </a:ext>
          </a:extLst>
        </xdr:cNvPr>
        <xdr:cNvCxnSpPr/>
      </xdr:nvCxnSpPr>
      <xdr:spPr>
        <a:xfrm flipH="1">
          <a:off x="43624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22</xdr:row>
      <xdr:rowOff>0</xdr:rowOff>
    </xdr:from>
    <xdr:to>
      <xdr:col>12</xdr:col>
      <xdr:colOff>0</xdr:colOff>
      <xdr:row>24</xdr:row>
      <xdr:rowOff>0</xdr:rowOff>
    </xdr:to>
    <xdr:cxnSp macro="">
      <xdr:nvCxnSpPr>
        <xdr:cNvPr id="12" name="DiagLine11">
          <a:extLst>
            <a:ext uri="{FF2B5EF4-FFF2-40B4-BE49-F238E27FC236}">
              <a16:creationId xmlns:a16="http://schemas.microsoft.com/office/drawing/2014/main" id="{6551F77B-BC5E-4C8C-A557-845F2903C6DD}"/>
            </a:ext>
          </a:extLst>
        </xdr:cNvPr>
        <xdr:cNvCxnSpPr/>
      </xdr:nvCxnSpPr>
      <xdr:spPr>
        <a:xfrm flipH="1">
          <a:off x="48006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22</xdr:row>
      <xdr:rowOff>0</xdr:rowOff>
    </xdr:from>
    <xdr:to>
      <xdr:col>13</xdr:col>
      <xdr:colOff>0</xdr:colOff>
      <xdr:row>24</xdr:row>
      <xdr:rowOff>0</xdr:rowOff>
    </xdr:to>
    <xdr:cxnSp macro="">
      <xdr:nvCxnSpPr>
        <xdr:cNvPr id="13" name="DiagLine12">
          <a:extLst>
            <a:ext uri="{FF2B5EF4-FFF2-40B4-BE49-F238E27FC236}">
              <a16:creationId xmlns:a16="http://schemas.microsoft.com/office/drawing/2014/main" id="{E29AEFB2-D99E-CC52-3E78-C3F65E63142B}"/>
            </a:ext>
          </a:extLst>
        </xdr:cNvPr>
        <xdr:cNvCxnSpPr/>
      </xdr:nvCxnSpPr>
      <xdr:spPr>
        <a:xfrm flipH="1">
          <a:off x="52387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22</xdr:row>
      <xdr:rowOff>0</xdr:rowOff>
    </xdr:from>
    <xdr:to>
      <xdr:col>14</xdr:col>
      <xdr:colOff>0</xdr:colOff>
      <xdr:row>24</xdr:row>
      <xdr:rowOff>0</xdr:rowOff>
    </xdr:to>
    <xdr:cxnSp macro="">
      <xdr:nvCxnSpPr>
        <xdr:cNvPr id="14" name="DiagLine13">
          <a:extLst>
            <a:ext uri="{FF2B5EF4-FFF2-40B4-BE49-F238E27FC236}">
              <a16:creationId xmlns:a16="http://schemas.microsoft.com/office/drawing/2014/main" id="{EFE0A345-1914-B7B8-AA9D-0A340310F880}"/>
            </a:ext>
          </a:extLst>
        </xdr:cNvPr>
        <xdr:cNvCxnSpPr/>
      </xdr:nvCxnSpPr>
      <xdr:spPr>
        <a:xfrm flipH="1">
          <a:off x="56769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22</xdr:row>
      <xdr:rowOff>0</xdr:rowOff>
    </xdr:from>
    <xdr:to>
      <xdr:col>16</xdr:col>
      <xdr:colOff>0</xdr:colOff>
      <xdr:row>24</xdr:row>
      <xdr:rowOff>0</xdr:rowOff>
    </xdr:to>
    <xdr:cxnSp macro="">
      <xdr:nvCxnSpPr>
        <xdr:cNvPr id="15" name="DiagLine14">
          <a:extLst>
            <a:ext uri="{FF2B5EF4-FFF2-40B4-BE49-F238E27FC236}">
              <a16:creationId xmlns:a16="http://schemas.microsoft.com/office/drawing/2014/main" id="{3E252ABD-9DF1-CCA0-641B-289AAC5B1976}"/>
            </a:ext>
          </a:extLst>
        </xdr:cNvPr>
        <xdr:cNvCxnSpPr/>
      </xdr:nvCxnSpPr>
      <xdr:spPr>
        <a:xfrm flipH="1">
          <a:off x="65532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17</xdr:col>
          <xdr:colOff>60960</xdr:colOff>
          <xdr:row>3</xdr:row>
          <xdr:rowOff>30480</xdr:rowOff>
        </xdr:from>
        <xdr:to>
          <xdr:col>18</xdr:col>
          <xdr:colOff>533400</xdr:colOff>
          <xdr:row>3</xdr:row>
          <xdr:rowOff>335280</xdr:rowOff>
        </xdr:to>
        <xdr:sp macro="" textlink="">
          <xdr:nvSpPr>
            <xdr:cNvPr id="7169" name="Btn_0"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900" b="0" i="0" u="none" strike="noStrike" baseline="0">
                  <a:solidFill>
                    <a:srgbClr val="000000"/>
                  </a:solidFill>
                  <a:latin typeface="メイリオ"/>
                  <a:ea typeface="メイリオ"/>
                </a:rPr>
                <a:t>新しい週を追加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60960</xdr:colOff>
          <xdr:row>3</xdr:row>
          <xdr:rowOff>441960</xdr:rowOff>
        </xdr:from>
        <xdr:to>
          <xdr:col>18</xdr:col>
          <xdr:colOff>533400</xdr:colOff>
          <xdr:row>4</xdr:row>
          <xdr:rowOff>45720</xdr:rowOff>
        </xdr:to>
        <xdr:sp macro="" textlink="">
          <xdr:nvSpPr>
            <xdr:cNvPr id="7170" name="Btn_1" hidden="1">
              <a:extLst>
                <a:ext uri="{63B3BB69-23CF-44E3-9099-C40C66FF867C}">
                  <a14:compatExt spid="_x0000_s7170"/>
                </a:ext>
                <a:ext uri="{FF2B5EF4-FFF2-40B4-BE49-F238E27FC236}">
                  <a16:creationId xmlns:a16="http://schemas.microsoft.com/office/drawing/2014/main" id="{00000000-0008-0000-0500-0000021C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900" b="0" i="0" u="none" strike="noStrike" baseline="0">
                  <a:solidFill>
                    <a:srgbClr val="000000"/>
                  </a:solidFill>
                  <a:latin typeface="メイリオ"/>
                  <a:ea typeface="メイリオ"/>
                </a:rPr>
                <a:t>時間割を再展開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60960</xdr:colOff>
          <xdr:row>4</xdr:row>
          <xdr:rowOff>144780</xdr:rowOff>
        </xdr:from>
        <xdr:to>
          <xdr:col>18</xdr:col>
          <xdr:colOff>533400</xdr:colOff>
          <xdr:row>5</xdr:row>
          <xdr:rowOff>220980</xdr:rowOff>
        </xdr:to>
        <xdr:sp macro="" textlink="">
          <xdr:nvSpPr>
            <xdr:cNvPr id="7171" name="Btn_2" hidden="1">
              <a:extLst>
                <a:ext uri="{63B3BB69-23CF-44E3-9099-C40C66FF867C}">
                  <a14:compatExt spid="_x0000_s7171"/>
                </a:ext>
                <a:ext uri="{FF2B5EF4-FFF2-40B4-BE49-F238E27FC236}">
                  <a16:creationId xmlns:a16="http://schemas.microsoft.com/office/drawing/2014/main" id="{00000000-0008-0000-0500-0000031C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900" b="0" i="0" u="none" strike="noStrike" baseline="0">
                  <a:solidFill>
                    <a:srgbClr val="000000"/>
                  </a:solidFill>
                  <a:latin typeface="メイリオ"/>
                  <a:ea typeface="メイリオ"/>
                </a:rPr>
                <a:t>累計を更新</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60960</xdr:colOff>
          <xdr:row>3</xdr:row>
          <xdr:rowOff>30480</xdr:rowOff>
        </xdr:from>
        <xdr:to>
          <xdr:col>18</xdr:col>
          <xdr:colOff>533400</xdr:colOff>
          <xdr:row>3</xdr:row>
          <xdr:rowOff>335280</xdr:rowOff>
        </xdr:to>
        <xdr:sp macro="" textlink="">
          <xdr:nvSpPr>
            <xdr:cNvPr id="11265" name="Btn_0" hidden="1">
              <a:extLst>
                <a:ext uri="{63B3BB69-23CF-44E3-9099-C40C66FF867C}">
                  <a14:compatExt spid="_x0000_s11265"/>
                </a:ext>
                <a:ext uri="{FF2B5EF4-FFF2-40B4-BE49-F238E27FC236}">
                  <a16:creationId xmlns:a16="http://schemas.microsoft.com/office/drawing/2014/main" id="{00000000-0008-0000-0600-0000012C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900" b="0" i="0" u="none" strike="noStrike" baseline="0">
                  <a:solidFill>
                    <a:srgbClr val="000000"/>
                  </a:solidFill>
                  <a:latin typeface="メイリオ"/>
                  <a:ea typeface="メイリオ"/>
                </a:rPr>
                <a:t>新しい週を追加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60960</xdr:colOff>
          <xdr:row>3</xdr:row>
          <xdr:rowOff>441960</xdr:rowOff>
        </xdr:from>
        <xdr:to>
          <xdr:col>18</xdr:col>
          <xdr:colOff>533400</xdr:colOff>
          <xdr:row>4</xdr:row>
          <xdr:rowOff>45720</xdr:rowOff>
        </xdr:to>
        <xdr:sp macro="" textlink="">
          <xdr:nvSpPr>
            <xdr:cNvPr id="11266" name="Btn_1" hidden="1">
              <a:extLst>
                <a:ext uri="{63B3BB69-23CF-44E3-9099-C40C66FF867C}">
                  <a14:compatExt spid="_x0000_s11266"/>
                </a:ext>
                <a:ext uri="{FF2B5EF4-FFF2-40B4-BE49-F238E27FC236}">
                  <a16:creationId xmlns:a16="http://schemas.microsoft.com/office/drawing/2014/main" id="{00000000-0008-0000-0600-0000022C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900" b="0" i="0" u="none" strike="noStrike" baseline="0">
                  <a:solidFill>
                    <a:srgbClr val="000000"/>
                  </a:solidFill>
                  <a:latin typeface="メイリオ"/>
                  <a:ea typeface="メイリオ"/>
                </a:rPr>
                <a:t>時間割を再展開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60960</xdr:colOff>
          <xdr:row>4</xdr:row>
          <xdr:rowOff>144780</xdr:rowOff>
        </xdr:from>
        <xdr:to>
          <xdr:col>18</xdr:col>
          <xdr:colOff>533400</xdr:colOff>
          <xdr:row>5</xdr:row>
          <xdr:rowOff>220980</xdr:rowOff>
        </xdr:to>
        <xdr:sp macro="" textlink="">
          <xdr:nvSpPr>
            <xdr:cNvPr id="11267" name="Btn_2" hidden="1">
              <a:extLst>
                <a:ext uri="{63B3BB69-23CF-44E3-9099-C40C66FF867C}">
                  <a14:compatExt spid="_x0000_s11267"/>
                </a:ext>
                <a:ext uri="{FF2B5EF4-FFF2-40B4-BE49-F238E27FC236}">
                  <a16:creationId xmlns:a16="http://schemas.microsoft.com/office/drawing/2014/main" id="{00000000-0008-0000-0600-0000032C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900" b="0" i="0" u="none" strike="noStrike" baseline="0">
                  <a:solidFill>
                    <a:srgbClr val="000000"/>
                  </a:solidFill>
                  <a:latin typeface="メイリオ"/>
                  <a:ea typeface="メイリオ"/>
                </a:rPr>
                <a:t>累計を更新</a:t>
              </a:r>
            </a:p>
          </xdr:txBody>
        </xdr:sp>
        <xdr:clientData fPrintsWithSheet="0"/>
      </xdr:twoCellAnchor>
    </mc:Choice>
    <mc:Fallback/>
  </mc:AlternateContent>
  <xdr:twoCellAnchor>
    <xdr:from>
      <xdr:col>1</xdr:col>
      <xdr:colOff>0</xdr:colOff>
      <xdr:row>22</xdr:row>
      <xdr:rowOff>0</xdr:rowOff>
    </xdr:from>
    <xdr:to>
      <xdr:col>2</xdr:col>
      <xdr:colOff>0</xdr:colOff>
      <xdr:row>24</xdr:row>
      <xdr:rowOff>0</xdr:rowOff>
    </xdr:to>
    <xdr:cxnSp macro="">
      <xdr:nvCxnSpPr>
        <xdr:cNvPr id="17" name="DiagLine1">
          <a:extLst>
            <a:ext uri="{FF2B5EF4-FFF2-40B4-BE49-F238E27FC236}">
              <a16:creationId xmlns:a16="http://schemas.microsoft.com/office/drawing/2014/main" id="{442FDDF2-1601-3FF2-4B2C-4C3533A09C6E}"/>
            </a:ext>
          </a:extLst>
        </xdr:cNvPr>
        <xdr:cNvCxnSpPr/>
      </xdr:nvCxnSpPr>
      <xdr:spPr>
        <a:xfrm flipH="1">
          <a:off x="4191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22</xdr:row>
      <xdr:rowOff>0</xdr:rowOff>
    </xdr:from>
    <xdr:to>
      <xdr:col>3</xdr:col>
      <xdr:colOff>0</xdr:colOff>
      <xdr:row>24</xdr:row>
      <xdr:rowOff>0</xdr:rowOff>
    </xdr:to>
    <xdr:cxnSp macro="">
      <xdr:nvCxnSpPr>
        <xdr:cNvPr id="18" name="DiagLine2">
          <a:extLst>
            <a:ext uri="{FF2B5EF4-FFF2-40B4-BE49-F238E27FC236}">
              <a16:creationId xmlns:a16="http://schemas.microsoft.com/office/drawing/2014/main" id="{FB942EDB-1412-5E38-0A67-64091C4522AF}"/>
            </a:ext>
          </a:extLst>
        </xdr:cNvPr>
        <xdr:cNvCxnSpPr/>
      </xdr:nvCxnSpPr>
      <xdr:spPr>
        <a:xfrm flipH="1">
          <a:off x="8572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0</xdr:rowOff>
    </xdr:from>
    <xdr:to>
      <xdr:col>4</xdr:col>
      <xdr:colOff>0</xdr:colOff>
      <xdr:row>24</xdr:row>
      <xdr:rowOff>0</xdr:rowOff>
    </xdr:to>
    <xdr:cxnSp macro="">
      <xdr:nvCxnSpPr>
        <xdr:cNvPr id="19" name="DiagLine3">
          <a:extLst>
            <a:ext uri="{FF2B5EF4-FFF2-40B4-BE49-F238E27FC236}">
              <a16:creationId xmlns:a16="http://schemas.microsoft.com/office/drawing/2014/main" id="{99DD8974-D219-CE83-A637-1CC2D46E9469}"/>
            </a:ext>
          </a:extLst>
        </xdr:cNvPr>
        <xdr:cNvCxnSpPr/>
      </xdr:nvCxnSpPr>
      <xdr:spPr>
        <a:xfrm flipH="1">
          <a:off x="12954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22</xdr:row>
      <xdr:rowOff>0</xdr:rowOff>
    </xdr:from>
    <xdr:to>
      <xdr:col>5</xdr:col>
      <xdr:colOff>0</xdr:colOff>
      <xdr:row>24</xdr:row>
      <xdr:rowOff>0</xdr:rowOff>
    </xdr:to>
    <xdr:cxnSp macro="">
      <xdr:nvCxnSpPr>
        <xdr:cNvPr id="20" name="DiagLine4">
          <a:extLst>
            <a:ext uri="{FF2B5EF4-FFF2-40B4-BE49-F238E27FC236}">
              <a16:creationId xmlns:a16="http://schemas.microsoft.com/office/drawing/2014/main" id="{2F38C005-0556-D986-3B75-C0A044E1A078}"/>
            </a:ext>
          </a:extLst>
        </xdr:cNvPr>
        <xdr:cNvCxnSpPr/>
      </xdr:nvCxnSpPr>
      <xdr:spPr>
        <a:xfrm flipH="1">
          <a:off x="17335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22</xdr:row>
      <xdr:rowOff>0</xdr:rowOff>
    </xdr:from>
    <xdr:to>
      <xdr:col>6</xdr:col>
      <xdr:colOff>0</xdr:colOff>
      <xdr:row>24</xdr:row>
      <xdr:rowOff>0</xdr:rowOff>
    </xdr:to>
    <xdr:cxnSp macro="">
      <xdr:nvCxnSpPr>
        <xdr:cNvPr id="21" name="DiagLine5">
          <a:extLst>
            <a:ext uri="{FF2B5EF4-FFF2-40B4-BE49-F238E27FC236}">
              <a16:creationId xmlns:a16="http://schemas.microsoft.com/office/drawing/2014/main" id="{4048B1FD-87F7-96E6-267D-19EE67B8F5FF}"/>
            </a:ext>
          </a:extLst>
        </xdr:cNvPr>
        <xdr:cNvCxnSpPr/>
      </xdr:nvCxnSpPr>
      <xdr:spPr>
        <a:xfrm flipH="1">
          <a:off x="21717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22</xdr:row>
      <xdr:rowOff>0</xdr:rowOff>
    </xdr:from>
    <xdr:to>
      <xdr:col>7</xdr:col>
      <xdr:colOff>0</xdr:colOff>
      <xdr:row>24</xdr:row>
      <xdr:rowOff>0</xdr:rowOff>
    </xdr:to>
    <xdr:cxnSp macro="">
      <xdr:nvCxnSpPr>
        <xdr:cNvPr id="22" name="DiagLine6">
          <a:extLst>
            <a:ext uri="{FF2B5EF4-FFF2-40B4-BE49-F238E27FC236}">
              <a16:creationId xmlns:a16="http://schemas.microsoft.com/office/drawing/2014/main" id="{8873CC3F-C353-D5D2-0A31-92B32CDA515D}"/>
            </a:ext>
          </a:extLst>
        </xdr:cNvPr>
        <xdr:cNvCxnSpPr/>
      </xdr:nvCxnSpPr>
      <xdr:spPr>
        <a:xfrm flipH="1">
          <a:off x="26098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22</xdr:row>
      <xdr:rowOff>0</xdr:rowOff>
    </xdr:from>
    <xdr:to>
      <xdr:col>8</xdr:col>
      <xdr:colOff>0</xdr:colOff>
      <xdr:row>24</xdr:row>
      <xdr:rowOff>0</xdr:rowOff>
    </xdr:to>
    <xdr:cxnSp macro="">
      <xdr:nvCxnSpPr>
        <xdr:cNvPr id="23" name="DiagLine7">
          <a:extLst>
            <a:ext uri="{FF2B5EF4-FFF2-40B4-BE49-F238E27FC236}">
              <a16:creationId xmlns:a16="http://schemas.microsoft.com/office/drawing/2014/main" id="{836C28D9-155C-DE8B-2D11-2CFF37FE6CAD}"/>
            </a:ext>
          </a:extLst>
        </xdr:cNvPr>
        <xdr:cNvCxnSpPr/>
      </xdr:nvCxnSpPr>
      <xdr:spPr>
        <a:xfrm flipH="1">
          <a:off x="30480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22</xdr:row>
      <xdr:rowOff>0</xdr:rowOff>
    </xdr:from>
    <xdr:to>
      <xdr:col>9</xdr:col>
      <xdr:colOff>0</xdr:colOff>
      <xdr:row>24</xdr:row>
      <xdr:rowOff>0</xdr:rowOff>
    </xdr:to>
    <xdr:cxnSp macro="">
      <xdr:nvCxnSpPr>
        <xdr:cNvPr id="24" name="DiagLine8">
          <a:extLst>
            <a:ext uri="{FF2B5EF4-FFF2-40B4-BE49-F238E27FC236}">
              <a16:creationId xmlns:a16="http://schemas.microsoft.com/office/drawing/2014/main" id="{7075B63C-D974-4D34-57B0-EA74912E3A82}"/>
            </a:ext>
          </a:extLst>
        </xdr:cNvPr>
        <xdr:cNvCxnSpPr/>
      </xdr:nvCxnSpPr>
      <xdr:spPr>
        <a:xfrm flipH="1">
          <a:off x="34861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22</xdr:row>
      <xdr:rowOff>0</xdr:rowOff>
    </xdr:from>
    <xdr:to>
      <xdr:col>10</xdr:col>
      <xdr:colOff>0</xdr:colOff>
      <xdr:row>24</xdr:row>
      <xdr:rowOff>0</xdr:rowOff>
    </xdr:to>
    <xdr:cxnSp macro="">
      <xdr:nvCxnSpPr>
        <xdr:cNvPr id="25" name="DiagLine9">
          <a:extLst>
            <a:ext uri="{FF2B5EF4-FFF2-40B4-BE49-F238E27FC236}">
              <a16:creationId xmlns:a16="http://schemas.microsoft.com/office/drawing/2014/main" id="{81379CBC-3E79-DE4C-6CC6-BDB898EFA44D}"/>
            </a:ext>
          </a:extLst>
        </xdr:cNvPr>
        <xdr:cNvCxnSpPr/>
      </xdr:nvCxnSpPr>
      <xdr:spPr>
        <a:xfrm flipH="1">
          <a:off x="39243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22</xdr:row>
      <xdr:rowOff>0</xdr:rowOff>
    </xdr:from>
    <xdr:to>
      <xdr:col>11</xdr:col>
      <xdr:colOff>0</xdr:colOff>
      <xdr:row>24</xdr:row>
      <xdr:rowOff>0</xdr:rowOff>
    </xdr:to>
    <xdr:cxnSp macro="">
      <xdr:nvCxnSpPr>
        <xdr:cNvPr id="26" name="DiagLine10">
          <a:extLst>
            <a:ext uri="{FF2B5EF4-FFF2-40B4-BE49-F238E27FC236}">
              <a16:creationId xmlns:a16="http://schemas.microsoft.com/office/drawing/2014/main" id="{44F9F230-000A-F0F8-9557-EACEF556C45A}"/>
            </a:ext>
          </a:extLst>
        </xdr:cNvPr>
        <xdr:cNvCxnSpPr/>
      </xdr:nvCxnSpPr>
      <xdr:spPr>
        <a:xfrm flipH="1">
          <a:off x="43624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22</xdr:row>
      <xdr:rowOff>0</xdr:rowOff>
    </xdr:from>
    <xdr:to>
      <xdr:col>12</xdr:col>
      <xdr:colOff>0</xdr:colOff>
      <xdr:row>24</xdr:row>
      <xdr:rowOff>0</xdr:rowOff>
    </xdr:to>
    <xdr:cxnSp macro="">
      <xdr:nvCxnSpPr>
        <xdr:cNvPr id="27" name="DiagLine11">
          <a:extLst>
            <a:ext uri="{FF2B5EF4-FFF2-40B4-BE49-F238E27FC236}">
              <a16:creationId xmlns:a16="http://schemas.microsoft.com/office/drawing/2014/main" id="{5C492E76-80BD-3260-5EC4-80B5CB48FB53}"/>
            </a:ext>
          </a:extLst>
        </xdr:cNvPr>
        <xdr:cNvCxnSpPr/>
      </xdr:nvCxnSpPr>
      <xdr:spPr>
        <a:xfrm flipH="1">
          <a:off x="48006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22</xdr:row>
      <xdr:rowOff>0</xdr:rowOff>
    </xdr:from>
    <xdr:to>
      <xdr:col>13</xdr:col>
      <xdr:colOff>0</xdr:colOff>
      <xdr:row>24</xdr:row>
      <xdr:rowOff>0</xdr:rowOff>
    </xdr:to>
    <xdr:cxnSp macro="">
      <xdr:nvCxnSpPr>
        <xdr:cNvPr id="28" name="DiagLine12">
          <a:extLst>
            <a:ext uri="{FF2B5EF4-FFF2-40B4-BE49-F238E27FC236}">
              <a16:creationId xmlns:a16="http://schemas.microsoft.com/office/drawing/2014/main" id="{0EE71B89-6A1E-E0D1-7EAB-6F4E3FD5B913}"/>
            </a:ext>
          </a:extLst>
        </xdr:cNvPr>
        <xdr:cNvCxnSpPr/>
      </xdr:nvCxnSpPr>
      <xdr:spPr>
        <a:xfrm flipH="1">
          <a:off x="52387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22</xdr:row>
      <xdr:rowOff>0</xdr:rowOff>
    </xdr:from>
    <xdr:to>
      <xdr:col>14</xdr:col>
      <xdr:colOff>0</xdr:colOff>
      <xdr:row>24</xdr:row>
      <xdr:rowOff>0</xdr:rowOff>
    </xdr:to>
    <xdr:cxnSp macro="">
      <xdr:nvCxnSpPr>
        <xdr:cNvPr id="29" name="DiagLine13">
          <a:extLst>
            <a:ext uri="{FF2B5EF4-FFF2-40B4-BE49-F238E27FC236}">
              <a16:creationId xmlns:a16="http://schemas.microsoft.com/office/drawing/2014/main" id="{3E6F726F-F82F-0229-B1F4-AF0DBCA63629}"/>
            </a:ext>
          </a:extLst>
        </xdr:cNvPr>
        <xdr:cNvCxnSpPr/>
      </xdr:nvCxnSpPr>
      <xdr:spPr>
        <a:xfrm flipH="1">
          <a:off x="56769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22</xdr:row>
      <xdr:rowOff>0</xdr:rowOff>
    </xdr:from>
    <xdr:to>
      <xdr:col>15</xdr:col>
      <xdr:colOff>0</xdr:colOff>
      <xdr:row>24</xdr:row>
      <xdr:rowOff>0</xdr:rowOff>
    </xdr:to>
    <xdr:cxnSp macro="">
      <xdr:nvCxnSpPr>
        <xdr:cNvPr id="30" name="DiagLine14">
          <a:extLst>
            <a:ext uri="{FF2B5EF4-FFF2-40B4-BE49-F238E27FC236}">
              <a16:creationId xmlns:a16="http://schemas.microsoft.com/office/drawing/2014/main" id="{C88408F5-EBFC-7C30-3E89-4030566321E3}"/>
            </a:ext>
          </a:extLst>
        </xdr:cNvPr>
        <xdr:cNvCxnSpPr/>
      </xdr:nvCxnSpPr>
      <xdr:spPr>
        <a:xfrm flipH="1">
          <a:off x="61150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22</xdr:row>
      <xdr:rowOff>0</xdr:rowOff>
    </xdr:from>
    <xdr:to>
      <xdr:col>16</xdr:col>
      <xdr:colOff>0</xdr:colOff>
      <xdr:row>24</xdr:row>
      <xdr:rowOff>0</xdr:rowOff>
    </xdr:to>
    <xdr:cxnSp macro="">
      <xdr:nvCxnSpPr>
        <xdr:cNvPr id="31" name="DiagLine15">
          <a:extLst>
            <a:ext uri="{FF2B5EF4-FFF2-40B4-BE49-F238E27FC236}">
              <a16:creationId xmlns:a16="http://schemas.microsoft.com/office/drawing/2014/main" id="{EAD40D07-71A7-8058-78B0-490E4D17C387}"/>
            </a:ext>
          </a:extLst>
        </xdr:cNvPr>
        <xdr:cNvCxnSpPr/>
      </xdr:nvCxnSpPr>
      <xdr:spPr>
        <a:xfrm flipH="1">
          <a:off x="65532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60960</xdr:colOff>
          <xdr:row>3</xdr:row>
          <xdr:rowOff>30480</xdr:rowOff>
        </xdr:from>
        <xdr:to>
          <xdr:col>18</xdr:col>
          <xdr:colOff>533400</xdr:colOff>
          <xdr:row>3</xdr:row>
          <xdr:rowOff>335280</xdr:rowOff>
        </xdr:to>
        <xdr:sp macro="" textlink="">
          <xdr:nvSpPr>
            <xdr:cNvPr id="12289" name="Btn_0" hidden="1">
              <a:extLst>
                <a:ext uri="{63B3BB69-23CF-44E3-9099-C40C66FF867C}">
                  <a14:compatExt spid="_x0000_s12289"/>
                </a:ext>
                <a:ext uri="{FF2B5EF4-FFF2-40B4-BE49-F238E27FC236}">
                  <a16:creationId xmlns:a16="http://schemas.microsoft.com/office/drawing/2014/main" id="{00000000-0008-0000-0700-0000013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900" b="0" i="0" u="none" strike="noStrike" baseline="0">
                  <a:solidFill>
                    <a:srgbClr val="000000"/>
                  </a:solidFill>
                  <a:latin typeface="メイリオ"/>
                  <a:ea typeface="メイリオ"/>
                </a:rPr>
                <a:t>新しい週を追加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60960</xdr:colOff>
          <xdr:row>3</xdr:row>
          <xdr:rowOff>441960</xdr:rowOff>
        </xdr:from>
        <xdr:to>
          <xdr:col>18</xdr:col>
          <xdr:colOff>533400</xdr:colOff>
          <xdr:row>4</xdr:row>
          <xdr:rowOff>45720</xdr:rowOff>
        </xdr:to>
        <xdr:sp macro="" textlink="">
          <xdr:nvSpPr>
            <xdr:cNvPr id="12290" name="Btn_1" hidden="1">
              <a:extLst>
                <a:ext uri="{63B3BB69-23CF-44E3-9099-C40C66FF867C}">
                  <a14:compatExt spid="_x0000_s12290"/>
                </a:ext>
                <a:ext uri="{FF2B5EF4-FFF2-40B4-BE49-F238E27FC236}">
                  <a16:creationId xmlns:a16="http://schemas.microsoft.com/office/drawing/2014/main" id="{00000000-0008-0000-0700-0000023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900" b="0" i="0" u="none" strike="noStrike" baseline="0">
                  <a:solidFill>
                    <a:srgbClr val="000000"/>
                  </a:solidFill>
                  <a:latin typeface="メイリオ"/>
                  <a:ea typeface="メイリオ"/>
                </a:rPr>
                <a:t>時間割を再展開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60960</xdr:colOff>
          <xdr:row>4</xdr:row>
          <xdr:rowOff>144780</xdr:rowOff>
        </xdr:from>
        <xdr:to>
          <xdr:col>18</xdr:col>
          <xdr:colOff>533400</xdr:colOff>
          <xdr:row>5</xdr:row>
          <xdr:rowOff>220980</xdr:rowOff>
        </xdr:to>
        <xdr:sp macro="" textlink="">
          <xdr:nvSpPr>
            <xdr:cNvPr id="12291" name="Btn_2" hidden="1">
              <a:extLst>
                <a:ext uri="{63B3BB69-23CF-44E3-9099-C40C66FF867C}">
                  <a14:compatExt spid="_x0000_s12291"/>
                </a:ext>
                <a:ext uri="{FF2B5EF4-FFF2-40B4-BE49-F238E27FC236}">
                  <a16:creationId xmlns:a16="http://schemas.microsoft.com/office/drawing/2014/main" id="{00000000-0008-0000-0700-0000033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900" b="0" i="0" u="none" strike="noStrike" baseline="0">
                  <a:solidFill>
                    <a:srgbClr val="000000"/>
                  </a:solidFill>
                  <a:latin typeface="メイリオ"/>
                  <a:ea typeface="メイリオ"/>
                </a:rPr>
                <a:t>累計を更新</a:t>
              </a:r>
            </a:p>
          </xdr:txBody>
        </xdr:sp>
        <xdr:clientData fPrintsWithSheet="0"/>
      </xdr:twoCellAnchor>
    </mc:Choice>
    <mc:Fallback/>
  </mc:AlternateContent>
  <xdr:twoCellAnchor>
    <xdr:from>
      <xdr:col>1</xdr:col>
      <xdr:colOff>0</xdr:colOff>
      <xdr:row>22</xdr:row>
      <xdr:rowOff>0</xdr:rowOff>
    </xdr:from>
    <xdr:to>
      <xdr:col>2</xdr:col>
      <xdr:colOff>0</xdr:colOff>
      <xdr:row>24</xdr:row>
      <xdr:rowOff>0</xdr:rowOff>
    </xdr:to>
    <xdr:cxnSp macro="">
      <xdr:nvCxnSpPr>
        <xdr:cNvPr id="17" name="DiagLine1">
          <a:extLst>
            <a:ext uri="{FF2B5EF4-FFF2-40B4-BE49-F238E27FC236}">
              <a16:creationId xmlns:a16="http://schemas.microsoft.com/office/drawing/2014/main" id="{DC611194-8E8D-A543-4E6B-E02DD337C5FF}"/>
            </a:ext>
          </a:extLst>
        </xdr:cNvPr>
        <xdr:cNvCxnSpPr/>
      </xdr:nvCxnSpPr>
      <xdr:spPr>
        <a:xfrm flipH="1">
          <a:off x="4191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22</xdr:row>
      <xdr:rowOff>0</xdr:rowOff>
    </xdr:from>
    <xdr:to>
      <xdr:col>3</xdr:col>
      <xdr:colOff>0</xdr:colOff>
      <xdr:row>24</xdr:row>
      <xdr:rowOff>0</xdr:rowOff>
    </xdr:to>
    <xdr:cxnSp macro="">
      <xdr:nvCxnSpPr>
        <xdr:cNvPr id="18" name="DiagLine2">
          <a:extLst>
            <a:ext uri="{FF2B5EF4-FFF2-40B4-BE49-F238E27FC236}">
              <a16:creationId xmlns:a16="http://schemas.microsoft.com/office/drawing/2014/main" id="{A367D348-3519-031B-AF07-174710294CBF}"/>
            </a:ext>
          </a:extLst>
        </xdr:cNvPr>
        <xdr:cNvCxnSpPr/>
      </xdr:nvCxnSpPr>
      <xdr:spPr>
        <a:xfrm flipH="1">
          <a:off x="8572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0</xdr:rowOff>
    </xdr:from>
    <xdr:to>
      <xdr:col>4</xdr:col>
      <xdr:colOff>0</xdr:colOff>
      <xdr:row>24</xdr:row>
      <xdr:rowOff>0</xdr:rowOff>
    </xdr:to>
    <xdr:cxnSp macro="">
      <xdr:nvCxnSpPr>
        <xdr:cNvPr id="19" name="DiagLine3">
          <a:extLst>
            <a:ext uri="{FF2B5EF4-FFF2-40B4-BE49-F238E27FC236}">
              <a16:creationId xmlns:a16="http://schemas.microsoft.com/office/drawing/2014/main" id="{F7F559B7-FAD6-5D01-956A-1AD44AA7391C}"/>
            </a:ext>
          </a:extLst>
        </xdr:cNvPr>
        <xdr:cNvCxnSpPr/>
      </xdr:nvCxnSpPr>
      <xdr:spPr>
        <a:xfrm flipH="1">
          <a:off x="12954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22</xdr:row>
      <xdr:rowOff>0</xdr:rowOff>
    </xdr:from>
    <xdr:to>
      <xdr:col>5</xdr:col>
      <xdr:colOff>0</xdr:colOff>
      <xdr:row>24</xdr:row>
      <xdr:rowOff>0</xdr:rowOff>
    </xdr:to>
    <xdr:cxnSp macro="">
      <xdr:nvCxnSpPr>
        <xdr:cNvPr id="20" name="DiagLine4">
          <a:extLst>
            <a:ext uri="{FF2B5EF4-FFF2-40B4-BE49-F238E27FC236}">
              <a16:creationId xmlns:a16="http://schemas.microsoft.com/office/drawing/2014/main" id="{E92F0D2D-70B2-AD16-F950-31E68C563B1F}"/>
            </a:ext>
          </a:extLst>
        </xdr:cNvPr>
        <xdr:cNvCxnSpPr/>
      </xdr:nvCxnSpPr>
      <xdr:spPr>
        <a:xfrm flipH="1">
          <a:off x="17335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22</xdr:row>
      <xdr:rowOff>0</xdr:rowOff>
    </xdr:from>
    <xdr:to>
      <xdr:col>6</xdr:col>
      <xdr:colOff>0</xdr:colOff>
      <xdr:row>24</xdr:row>
      <xdr:rowOff>0</xdr:rowOff>
    </xdr:to>
    <xdr:cxnSp macro="">
      <xdr:nvCxnSpPr>
        <xdr:cNvPr id="21" name="DiagLine5">
          <a:extLst>
            <a:ext uri="{FF2B5EF4-FFF2-40B4-BE49-F238E27FC236}">
              <a16:creationId xmlns:a16="http://schemas.microsoft.com/office/drawing/2014/main" id="{155A6F22-9AC7-F27C-595E-F168EC43B521}"/>
            </a:ext>
          </a:extLst>
        </xdr:cNvPr>
        <xdr:cNvCxnSpPr/>
      </xdr:nvCxnSpPr>
      <xdr:spPr>
        <a:xfrm flipH="1">
          <a:off x="21717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22</xdr:row>
      <xdr:rowOff>0</xdr:rowOff>
    </xdr:from>
    <xdr:to>
      <xdr:col>7</xdr:col>
      <xdr:colOff>0</xdr:colOff>
      <xdr:row>24</xdr:row>
      <xdr:rowOff>0</xdr:rowOff>
    </xdr:to>
    <xdr:cxnSp macro="">
      <xdr:nvCxnSpPr>
        <xdr:cNvPr id="22" name="DiagLine6">
          <a:extLst>
            <a:ext uri="{FF2B5EF4-FFF2-40B4-BE49-F238E27FC236}">
              <a16:creationId xmlns:a16="http://schemas.microsoft.com/office/drawing/2014/main" id="{EF57276D-E5F5-D0A7-63DD-0227521E60A2}"/>
            </a:ext>
          </a:extLst>
        </xdr:cNvPr>
        <xdr:cNvCxnSpPr/>
      </xdr:nvCxnSpPr>
      <xdr:spPr>
        <a:xfrm flipH="1">
          <a:off x="26098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22</xdr:row>
      <xdr:rowOff>0</xdr:rowOff>
    </xdr:from>
    <xdr:to>
      <xdr:col>8</xdr:col>
      <xdr:colOff>0</xdr:colOff>
      <xdr:row>24</xdr:row>
      <xdr:rowOff>0</xdr:rowOff>
    </xdr:to>
    <xdr:cxnSp macro="">
      <xdr:nvCxnSpPr>
        <xdr:cNvPr id="23" name="DiagLine7">
          <a:extLst>
            <a:ext uri="{FF2B5EF4-FFF2-40B4-BE49-F238E27FC236}">
              <a16:creationId xmlns:a16="http://schemas.microsoft.com/office/drawing/2014/main" id="{92A1B8A6-9B06-8E1B-C604-DFEDDC469928}"/>
            </a:ext>
          </a:extLst>
        </xdr:cNvPr>
        <xdr:cNvCxnSpPr/>
      </xdr:nvCxnSpPr>
      <xdr:spPr>
        <a:xfrm flipH="1">
          <a:off x="30480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22</xdr:row>
      <xdr:rowOff>0</xdr:rowOff>
    </xdr:from>
    <xdr:to>
      <xdr:col>9</xdr:col>
      <xdr:colOff>0</xdr:colOff>
      <xdr:row>24</xdr:row>
      <xdr:rowOff>0</xdr:rowOff>
    </xdr:to>
    <xdr:cxnSp macro="">
      <xdr:nvCxnSpPr>
        <xdr:cNvPr id="24" name="DiagLine8">
          <a:extLst>
            <a:ext uri="{FF2B5EF4-FFF2-40B4-BE49-F238E27FC236}">
              <a16:creationId xmlns:a16="http://schemas.microsoft.com/office/drawing/2014/main" id="{C5BE2450-CB4C-91B2-0129-C6DBBB500613}"/>
            </a:ext>
          </a:extLst>
        </xdr:cNvPr>
        <xdr:cNvCxnSpPr/>
      </xdr:nvCxnSpPr>
      <xdr:spPr>
        <a:xfrm flipH="1">
          <a:off x="34861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22</xdr:row>
      <xdr:rowOff>0</xdr:rowOff>
    </xdr:from>
    <xdr:to>
      <xdr:col>10</xdr:col>
      <xdr:colOff>0</xdr:colOff>
      <xdr:row>24</xdr:row>
      <xdr:rowOff>0</xdr:rowOff>
    </xdr:to>
    <xdr:cxnSp macro="">
      <xdr:nvCxnSpPr>
        <xdr:cNvPr id="25" name="DiagLine9">
          <a:extLst>
            <a:ext uri="{FF2B5EF4-FFF2-40B4-BE49-F238E27FC236}">
              <a16:creationId xmlns:a16="http://schemas.microsoft.com/office/drawing/2014/main" id="{27F92716-4BA6-54B6-785C-D43678B8FDA0}"/>
            </a:ext>
          </a:extLst>
        </xdr:cNvPr>
        <xdr:cNvCxnSpPr/>
      </xdr:nvCxnSpPr>
      <xdr:spPr>
        <a:xfrm flipH="1">
          <a:off x="39243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22</xdr:row>
      <xdr:rowOff>0</xdr:rowOff>
    </xdr:from>
    <xdr:to>
      <xdr:col>11</xdr:col>
      <xdr:colOff>0</xdr:colOff>
      <xdr:row>24</xdr:row>
      <xdr:rowOff>0</xdr:rowOff>
    </xdr:to>
    <xdr:cxnSp macro="">
      <xdr:nvCxnSpPr>
        <xdr:cNvPr id="26" name="DiagLine10">
          <a:extLst>
            <a:ext uri="{FF2B5EF4-FFF2-40B4-BE49-F238E27FC236}">
              <a16:creationId xmlns:a16="http://schemas.microsoft.com/office/drawing/2014/main" id="{4A9A1F95-C0DA-3AFB-5CCC-35850BC8A200}"/>
            </a:ext>
          </a:extLst>
        </xdr:cNvPr>
        <xdr:cNvCxnSpPr/>
      </xdr:nvCxnSpPr>
      <xdr:spPr>
        <a:xfrm flipH="1">
          <a:off x="43624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22</xdr:row>
      <xdr:rowOff>0</xdr:rowOff>
    </xdr:from>
    <xdr:to>
      <xdr:col>12</xdr:col>
      <xdr:colOff>0</xdr:colOff>
      <xdr:row>24</xdr:row>
      <xdr:rowOff>0</xdr:rowOff>
    </xdr:to>
    <xdr:cxnSp macro="">
      <xdr:nvCxnSpPr>
        <xdr:cNvPr id="27" name="DiagLine11">
          <a:extLst>
            <a:ext uri="{FF2B5EF4-FFF2-40B4-BE49-F238E27FC236}">
              <a16:creationId xmlns:a16="http://schemas.microsoft.com/office/drawing/2014/main" id="{828BC748-EBA7-F7A9-B107-5B2E3817A4CA}"/>
            </a:ext>
          </a:extLst>
        </xdr:cNvPr>
        <xdr:cNvCxnSpPr/>
      </xdr:nvCxnSpPr>
      <xdr:spPr>
        <a:xfrm flipH="1">
          <a:off x="48006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22</xdr:row>
      <xdr:rowOff>0</xdr:rowOff>
    </xdr:from>
    <xdr:to>
      <xdr:col>13</xdr:col>
      <xdr:colOff>0</xdr:colOff>
      <xdr:row>24</xdr:row>
      <xdr:rowOff>0</xdr:rowOff>
    </xdr:to>
    <xdr:cxnSp macro="">
      <xdr:nvCxnSpPr>
        <xdr:cNvPr id="28" name="DiagLine12">
          <a:extLst>
            <a:ext uri="{FF2B5EF4-FFF2-40B4-BE49-F238E27FC236}">
              <a16:creationId xmlns:a16="http://schemas.microsoft.com/office/drawing/2014/main" id="{D28828B3-0D0F-0DE9-C6E1-0722A9489EFC}"/>
            </a:ext>
          </a:extLst>
        </xdr:cNvPr>
        <xdr:cNvCxnSpPr/>
      </xdr:nvCxnSpPr>
      <xdr:spPr>
        <a:xfrm flipH="1">
          <a:off x="52387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22</xdr:row>
      <xdr:rowOff>0</xdr:rowOff>
    </xdr:from>
    <xdr:to>
      <xdr:col>14</xdr:col>
      <xdr:colOff>0</xdr:colOff>
      <xdr:row>24</xdr:row>
      <xdr:rowOff>0</xdr:rowOff>
    </xdr:to>
    <xdr:cxnSp macro="">
      <xdr:nvCxnSpPr>
        <xdr:cNvPr id="29" name="DiagLine13">
          <a:extLst>
            <a:ext uri="{FF2B5EF4-FFF2-40B4-BE49-F238E27FC236}">
              <a16:creationId xmlns:a16="http://schemas.microsoft.com/office/drawing/2014/main" id="{7CD6E19B-DC54-D8CC-E6B1-2E43234136D8}"/>
            </a:ext>
          </a:extLst>
        </xdr:cNvPr>
        <xdr:cNvCxnSpPr/>
      </xdr:nvCxnSpPr>
      <xdr:spPr>
        <a:xfrm flipH="1">
          <a:off x="56769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22</xdr:row>
      <xdr:rowOff>0</xdr:rowOff>
    </xdr:from>
    <xdr:to>
      <xdr:col>15</xdr:col>
      <xdr:colOff>0</xdr:colOff>
      <xdr:row>24</xdr:row>
      <xdr:rowOff>0</xdr:rowOff>
    </xdr:to>
    <xdr:cxnSp macro="">
      <xdr:nvCxnSpPr>
        <xdr:cNvPr id="30" name="DiagLine14">
          <a:extLst>
            <a:ext uri="{FF2B5EF4-FFF2-40B4-BE49-F238E27FC236}">
              <a16:creationId xmlns:a16="http://schemas.microsoft.com/office/drawing/2014/main" id="{DFF7AEF4-1603-0F2C-1F62-1303AB78E68C}"/>
            </a:ext>
          </a:extLst>
        </xdr:cNvPr>
        <xdr:cNvCxnSpPr/>
      </xdr:nvCxnSpPr>
      <xdr:spPr>
        <a:xfrm flipH="1">
          <a:off x="61150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22</xdr:row>
      <xdr:rowOff>0</xdr:rowOff>
    </xdr:from>
    <xdr:to>
      <xdr:col>16</xdr:col>
      <xdr:colOff>0</xdr:colOff>
      <xdr:row>24</xdr:row>
      <xdr:rowOff>0</xdr:rowOff>
    </xdr:to>
    <xdr:cxnSp macro="">
      <xdr:nvCxnSpPr>
        <xdr:cNvPr id="31" name="DiagLine15">
          <a:extLst>
            <a:ext uri="{FF2B5EF4-FFF2-40B4-BE49-F238E27FC236}">
              <a16:creationId xmlns:a16="http://schemas.microsoft.com/office/drawing/2014/main" id="{4A61FA47-8A7B-45FC-7E5F-7989126FCE4D}"/>
            </a:ext>
          </a:extLst>
        </xdr:cNvPr>
        <xdr:cNvCxnSpPr/>
      </xdr:nvCxnSpPr>
      <xdr:spPr>
        <a:xfrm flipH="1">
          <a:off x="65532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60960</xdr:colOff>
          <xdr:row>3</xdr:row>
          <xdr:rowOff>30480</xdr:rowOff>
        </xdr:from>
        <xdr:to>
          <xdr:col>18</xdr:col>
          <xdr:colOff>533400</xdr:colOff>
          <xdr:row>3</xdr:row>
          <xdr:rowOff>335280</xdr:rowOff>
        </xdr:to>
        <xdr:sp macro="" textlink="">
          <xdr:nvSpPr>
            <xdr:cNvPr id="13313" name="Btn_0" hidden="1">
              <a:extLst>
                <a:ext uri="{63B3BB69-23CF-44E3-9099-C40C66FF867C}">
                  <a14:compatExt spid="_x0000_s13313"/>
                </a:ext>
                <a:ext uri="{FF2B5EF4-FFF2-40B4-BE49-F238E27FC236}">
                  <a16:creationId xmlns:a16="http://schemas.microsoft.com/office/drawing/2014/main" id="{00000000-0008-0000-0800-0000013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900" b="0" i="0" u="none" strike="noStrike" baseline="0">
                  <a:solidFill>
                    <a:srgbClr val="000000"/>
                  </a:solidFill>
                  <a:latin typeface="メイリオ"/>
                  <a:ea typeface="メイリオ"/>
                </a:rPr>
                <a:t>新しい週を追加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60960</xdr:colOff>
          <xdr:row>3</xdr:row>
          <xdr:rowOff>441960</xdr:rowOff>
        </xdr:from>
        <xdr:to>
          <xdr:col>18</xdr:col>
          <xdr:colOff>533400</xdr:colOff>
          <xdr:row>4</xdr:row>
          <xdr:rowOff>45720</xdr:rowOff>
        </xdr:to>
        <xdr:sp macro="" textlink="">
          <xdr:nvSpPr>
            <xdr:cNvPr id="13314" name="Btn_1" hidden="1">
              <a:extLst>
                <a:ext uri="{63B3BB69-23CF-44E3-9099-C40C66FF867C}">
                  <a14:compatExt spid="_x0000_s13314"/>
                </a:ext>
                <a:ext uri="{FF2B5EF4-FFF2-40B4-BE49-F238E27FC236}">
                  <a16:creationId xmlns:a16="http://schemas.microsoft.com/office/drawing/2014/main" id="{00000000-0008-0000-0800-0000023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900" b="0" i="0" u="none" strike="noStrike" baseline="0">
                  <a:solidFill>
                    <a:srgbClr val="000000"/>
                  </a:solidFill>
                  <a:latin typeface="メイリオ"/>
                  <a:ea typeface="メイリオ"/>
                </a:rPr>
                <a:t>時間割を再展開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60960</xdr:colOff>
          <xdr:row>4</xdr:row>
          <xdr:rowOff>144780</xdr:rowOff>
        </xdr:from>
        <xdr:to>
          <xdr:col>18</xdr:col>
          <xdr:colOff>533400</xdr:colOff>
          <xdr:row>5</xdr:row>
          <xdr:rowOff>220980</xdr:rowOff>
        </xdr:to>
        <xdr:sp macro="" textlink="">
          <xdr:nvSpPr>
            <xdr:cNvPr id="13315" name="Btn_2" hidden="1">
              <a:extLst>
                <a:ext uri="{63B3BB69-23CF-44E3-9099-C40C66FF867C}">
                  <a14:compatExt spid="_x0000_s13315"/>
                </a:ext>
                <a:ext uri="{FF2B5EF4-FFF2-40B4-BE49-F238E27FC236}">
                  <a16:creationId xmlns:a16="http://schemas.microsoft.com/office/drawing/2014/main" id="{00000000-0008-0000-0800-0000033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900" b="0" i="0" u="none" strike="noStrike" baseline="0">
                  <a:solidFill>
                    <a:srgbClr val="000000"/>
                  </a:solidFill>
                  <a:latin typeface="メイリオ"/>
                  <a:ea typeface="メイリオ"/>
                </a:rPr>
                <a:t>累計を更新</a:t>
              </a:r>
            </a:p>
          </xdr:txBody>
        </xdr:sp>
        <xdr:clientData fPrintsWithSheet="0"/>
      </xdr:twoCellAnchor>
    </mc:Choice>
    <mc:Fallback/>
  </mc:AlternateContent>
  <xdr:twoCellAnchor>
    <xdr:from>
      <xdr:col>1</xdr:col>
      <xdr:colOff>0</xdr:colOff>
      <xdr:row>22</xdr:row>
      <xdr:rowOff>0</xdr:rowOff>
    </xdr:from>
    <xdr:to>
      <xdr:col>2</xdr:col>
      <xdr:colOff>0</xdr:colOff>
      <xdr:row>24</xdr:row>
      <xdr:rowOff>0</xdr:rowOff>
    </xdr:to>
    <xdr:cxnSp macro="">
      <xdr:nvCxnSpPr>
        <xdr:cNvPr id="17" name="DiagLine1">
          <a:extLst>
            <a:ext uri="{FF2B5EF4-FFF2-40B4-BE49-F238E27FC236}">
              <a16:creationId xmlns:a16="http://schemas.microsoft.com/office/drawing/2014/main" id="{664F7319-B47A-B160-2323-7189581F617C}"/>
            </a:ext>
          </a:extLst>
        </xdr:cNvPr>
        <xdr:cNvCxnSpPr/>
      </xdr:nvCxnSpPr>
      <xdr:spPr>
        <a:xfrm flipH="1">
          <a:off x="4191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22</xdr:row>
      <xdr:rowOff>0</xdr:rowOff>
    </xdr:from>
    <xdr:to>
      <xdr:col>3</xdr:col>
      <xdr:colOff>0</xdr:colOff>
      <xdr:row>24</xdr:row>
      <xdr:rowOff>0</xdr:rowOff>
    </xdr:to>
    <xdr:cxnSp macro="">
      <xdr:nvCxnSpPr>
        <xdr:cNvPr id="18" name="DiagLine2">
          <a:extLst>
            <a:ext uri="{FF2B5EF4-FFF2-40B4-BE49-F238E27FC236}">
              <a16:creationId xmlns:a16="http://schemas.microsoft.com/office/drawing/2014/main" id="{B660A7A4-14ED-276A-9D13-723681F2A932}"/>
            </a:ext>
          </a:extLst>
        </xdr:cNvPr>
        <xdr:cNvCxnSpPr/>
      </xdr:nvCxnSpPr>
      <xdr:spPr>
        <a:xfrm flipH="1">
          <a:off x="8572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0</xdr:rowOff>
    </xdr:from>
    <xdr:to>
      <xdr:col>4</xdr:col>
      <xdr:colOff>0</xdr:colOff>
      <xdr:row>24</xdr:row>
      <xdr:rowOff>0</xdr:rowOff>
    </xdr:to>
    <xdr:cxnSp macro="">
      <xdr:nvCxnSpPr>
        <xdr:cNvPr id="19" name="DiagLine3">
          <a:extLst>
            <a:ext uri="{FF2B5EF4-FFF2-40B4-BE49-F238E27FC236}">
              <a16:creationId xmlns:a16="http://schemas.microsoft.com/office/drawing/2014/main" id="{6DE35FDE-57BB-2913-6A00-8A9F392D3130}"/>
            </a:ext>
          </a:extLst>
        </xdr:cNvPr>
        <xdr:cNvCxnSpPr/>
      </xdr:nvCxnSpPr>
      <xdr:spPr>
        <a:xfrm flipH="1">
          <a:off x="12954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22</xdr:row>
      <xdr:rowOff>0</xdr:rowOff>
    </xdr:from>
    <xdr:to>
      <xdr:col>5</xdr:col>
      <xdr:colOff>0</xdr:colOff>
      <xdr:row>24</xdr:row>
      <xdr:rowOff>0</xdr:rowOff>
    </xdr:to>
    <xdr:cxnSp macro="">
      <xdr:nvCxnSpPr>
        <xdr:cNvPr id="20" name="DiagLine4">
          <a:extLst>
            <a:ext uri="{FF2B5EF4-FFF2-40B4-BE49-F238E27FC236}">
              <a16:creationId xmlns:a16="http://schemas.microsoft.com/office/drawing/2014/main" id="{34B6D6DF-54FA-E8C1-D67C-B37925D06D8B}"/>
            </a:ext>
          </a:extLst>
        </xdr:cNvPr>
        <xdr:cNvCxnSpPr/>
      </xdr:nvCxnSpPr>
      <xdr:spPr>
        <a:xfrm flipH="1">
          <a:off x="17335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22</xdr:row>
      <xdr:rowOff>0</xdr:rowOff>
    </xdr:from>
    <xdr:to>
      <xdr:col>6</xdr:col>
      <xdr:colOff>0</xdr:colOff>
      <xdr:row>24</xdr:row>
      <xdr:rowOff>0</xdr:rowOff>
    </xdr:to>
    <xdr:cxnSp macro="">
      <xdr:nvCxnSpPr>
        <xdr:cNvPr id="21" name="DiagLine5">
          <a:extLst>
            <a:ext uri="{FF2B5EF4-FFF2-40B4-BE49-F238E27FC236}">
              <a16:creationId xmlns:a16="http://schemas.microsoft.com/office/drawing/2014/main" id="{EF2612BC-218F-FAE1-F18E-327B7EA14217}"/>
            </a:ext>
          </a:extLst>
        </xdr:cNvPr>
        <xdr:cNvCxnSpPr/>
      </xdr:nvCxnSpPr>
      <xdr:spPr>
        <a:xfrm flipH="1">
          <a:off x="21717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22</xdr:row>
      <xdr:rowOff>0</xdr:rowOff>
    </xdr:from>
    <xdr:to>
      <xdr:col>7</xdr:col>
      <xdr:colOff>0</xdr:colOff>
      <xdr:row>24</xdr:row>
      <xdr:rowOff>0</xdr:rowOff>
    </xdr:to>
    <xdr:cxnSp macro="">
      <xdr:nvCxnSpPr>
        <xdr:cNvPr id="22" name="DiagLine6">
          <a:extLst>
            <a:ext uri="{FF2B5EF4-FFF2-40B4-BE49-F238E27FC236}">
              <a16:creationId xmlns:a16="http://schemas.microsoft.com/office/drawing/2014/main" id="{0CD044EC-14FC-3003-E33C-53BFB537C3B1}"/>
            </a:ext>
          </a:extLst>
        </xdr:cNvPr>
        <xdr:cNvCxnSpPr/>
      </xdr:nvCxnSpPr>
      <xdr:spPr>
        <a:xfrm flipH="1">
          <a:off x="26098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22</xdr:row>
      <xdr:rowOff>0</xdr:rowOff>
    </xdr:from>
    <xdr:to>
      <xdr:col>8</xdr:col>
      <xdr:colOff>0</xdr:colOff>
      <xdr:row>24</xdr:row>
      <xdr:rowOff>0</xdr:rowOff>
    </xdr:to>
    <xdr:cxnSp macro="">
      <xdr:nvCxnSpPr>
        <xdr:cNvPr id="23" name="DiagLine7">
          <a:extLst>
            <a:ext uri="{FF2B5EF4-FFF2-40B4-BE49-F238E27FC236}">
              <a16:creationId xmlns:a16="http://schemas.microsoft.com/office/drawing/2014/main" id="{FD850A74-F8F9-4A99-F355-467D99DFEE32}"/>
            </a:ext>
          </a:extLst>
        </xdr:cNvPr>
        <xdr:cNvCxnSpPr/>
      </xdr:nvCxnSpPr>
      <xdr:spPr>
        <a:xfrm flipH="1">
          <a:off x="30480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22</xdr:row>
      <xdr:rowOff>0</xdr:rowOff>
    </xdr:from>
    <xdr:to>
      <xdr:col>9</xdr:col>
      <xdr:colOff>0</xdr:colOff>
      <xdr:row>24</xdr:row>
      <xdr:rowOff>0</xdr:rowOff>
    </xdr:to>
    <xdr:cxnSp macro="">
      <xdr:nvCxnSpPr>
        <xdr:cNvPr id="24" name="DiagLine8">
          <a:extLst>
            <a:ext uri="{FF2B5EF4-FFF2-40B4-BE49-F238E27FC236}">
              <a16:creationId xmlns:a16="http://schemas.microsoft.com/office/drawing/2014/main" id="{33F82AFE-4286-D087-0546-811E2C66139C}"/>
            </a:ext>
          </a:extLst>
        </xdr:cNvPr>
        <xdr:cNvCxnSpPr/>
      </xdr:nvCxnSpPr>
      <xdr:spPr>
        <a:xfrm flipH="1">
          <a:off x="34861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22</xdr:row>
      <xdr:rowOff>0</xdr:rowOff>
    </xdr:from>
    <xdr:to>
      <xdr:col>10</xdr:col>
      <xdr:colOff>0</xdr:colOff>
      <xdr:row>24</xdr:row>
      <xdr:rowOff>0</xdr:rowOff>
    </xdr:to>
    <xdr:cxnSp macro="">
      <xdr:nvCxnSpPr>
        <xdr:cNvPr id="25" name="DiagLine9">
          <a:extLst>
            <a:ext uri="{FF2B5EF4-FFF2-40B4-BE49-F238E27FC236}">
              <a16:creationId xmlns:a16="http://schemas.microsoft.com/office/drawing/2014/main" id="{2CBB1FB7-E366-0B90-6212-8FCC1599C0C9}"/>
            </a:ext>
          </a:extLst>
        </xdr:cNvPr>
        <xdr:cNvCxnSpPr/>
      </xdr:nvCxnSpPr>
      <xdr:spPr>
        <a:xfrm flipH="1">
          <a:off x="39243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22</xdr:row>
      <xdr:rowOff>0</xdr:rowOff>
    </xdr:from>
    <xdr:to>
      <xdr:col>11</xdr:col>
      <xdr:colOff>0</xdr:colOff>
      <xdr:row>24</xdr:row>
      <xdr:rowOff>0</xdr:rowOff>
    </xdr:to>
    <xdr:cxnSp macro="">
      <xdr:nvCxnSpPr>
        <xdr:cNvPr id="26" name="DiagLine10">
          <a:extLst>
            <a:ext uri="{FF2B5EF4-FFF2-40B4-BE49-F238E27FC236}">
              <a16:creationId xmlns:a16="http://schemas.microsoft.com/office/drawing/2014/main" id="{F286DD17-AA40-CDE3-B5B2-257C663BD66D}"/>
            </a:ext>
          </a:extLst>
        </xdr:cNvPr>
        <xdr:cNvCxnSpPr/>
      </xdr:nvCxnSpPr>
      <xdr:spPr>
        <a:xfrm flipH="1">
          <a:off x="43624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22</xdr:row>
      <xdr:rowOff>0</xdr:rowOff>
    </xdr:from>
    <xdr:to>
      <xdr:col>12</xdr:col>
      <xdr:colOff>0</xdr:colOff>
      <xdr:row>24</xdr:row>
      <xdr:rowOff>0</xdr:rowOff>
    </xdr:to>
    <xdr:cxnSp macro="">
      <xdr:nvCxnSpPr>
        <xdr:cNvPr id="27" name="DiagLine11">
          <a:extLst>
            <a:ext uri="{FF2B5EF4-FFF2-40B4-BE49-F238E27FC236}">
              <a16:creationId xmlns:a16="http://schemas.microsoft.com/office/drawing/2014/main" id="{FA4C8295-76F5-2215-BB0B-4871259058B5}"/>
            </a:ext>
          </a:extLst>
        </xdr:cNvPr>
        <xdr:cNvCxnSpPr/>
      </xdr:nvCxnSpPr>
      <xdr:spPr>
        <a:xfrm flipH="1">
          <a:off x="48006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22</xdr:row>
      <xdr:rowOff>0</xdr:rowOff>
    </xdr:from>
    <xdr:to>
      <xdr:col>13</xdr:col>
      <xdr:colOff>0</xdr:colOff>
      <xdr:row>24</xdr:row>
      <xdr:rowOff>0</xdr:rowOff>
    </xdr:to>
    <xdr:cxnSp macro="">
      <xdr:nvCxnSpPr>
        <xdr:cNvPr id="28" name="DiagLine12">
          <a:extLst>
            <a:ext uri="{FF2B5EF4-FFF2-40B4-BE49-F238E27FC236}">
              <a16:creationId xmlns:a16="http://schemas.microsoft.com/office/drawing/2014/main" id="{6320F9C2-91AA-9D56-BB40-FC06292081AF}"/>
            </a:ext>
          </a:extLst>
        </xdr:cNvPr>
        <xdr:cNvCxnSpPr/>
      </xdr:nvCxnSpPr>
      <xdr:spPr>
        <a:xfrm flipH="1">
          <a:off x="52387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22</xdr:row>
      <xdr:rowOff>0</xdr:rowOff>
    </xdr:from>
    <xdr:to>
      <xdr:col>14</xdr:col>
      <xdr:colOff>0</xdr:colOff>
      <xdr:row>24</xdr:row>
      <xdr:rowOff>0</xdr:rowOff>
    </xdr:to>
    <xdr:cxnSp macro="">
      <xdr:nvCxnSpPr>
        <xdr:cNvPr id="29" name="DiagLine13">
          <a:extLst>
            <a:ext uri="{FF2B5EF4-FFF2-40B4-BE49-F238E27FC236}">
              <a16:creationId xmlns:a16="http://schemas.microsoft.com/office/drawing/2014/main" id="{2D88D77B-C619-2FC9-C5E2-404F4883F358}"/>
            </a:ext>
          </a:extLst>
        </xdr:cNvPr>
        <xdr:cNvCxnSpPr/>
      </xdr:nvCxnSpPr>
      <xdr:spPr>
        <a:xfrm flipH="1">
          <a:off x="56769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22</xdr:row>
      <xdr:rowOff>0</xdr:rowOff>
    </xdr:from>
    <xdr:to>
      <xdr:col>15</xdr:col>
      <xdr:colOff>0</xdr:colOff>
      <xdr:row>24</xdr:row>
      <xdr:rowOff>0</xdr:rowOff>
    </xdr:to>
    <xdr:cxnSp macro="">
      <xdr:nvCxnSpPr>
        <xdr:cNvPr id="30" name="DiagLine14">
          <a:extLst>
            <a:ext uri="{FF2B5EF4-FFF2-40B4-BE49-F238E27FC236}">
              <a16:creationId xmlns:a16="http://schemas.microsoft.com/office/drawing/2014/main" id="{AE19080E-D8B2-172B-1A1B-6A481B1795F7}"/>
            </a:ext>
          </a:extLst>
        </xdr:cNvPr>
        <xdr:cNvCxnSpPr/>
      </xdr:nvCxnSpPr>
      <xdr:spPr>
        <a:xfrm flipH="1">
          <a:off x="61150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22</xdr:row>
      <xdr:rowOff>0</xdr:rowOff>
    </xdr:from>
    <xdr:to>
      <xdr:col>16</xdr:col>
      <xdr:colOff>0</xdr:colOff>
      <xdr:row>24</xdr:row>
      <xdr:rowOff>0</xdr:rowOff>
    </xdr:to>
    <xdr:cxnSp macro="">
      <xdr:nvCxnSpPr>
        <xdr:cNvPr id="31" name="DiagLine15">
          <a:extLst>
            <a:ext uri="{FF2B5EF4-FFF2-40B4-BE49-F238E27FC236}">
              <a16:creationId xmlns:a16="http://schemas.microsoft.com/office/drawing/2014/main" id="{9D8B5AA0-9768-1675-FA28-693AEC40DC15}"/>
            </a:ext>
          </a:extLst>
        </xdr:cNvPr>
        <xdr:cNvCxnSpPr/>
      </xdr:nvCxnSpPr>
      <xdr:spPr>
        <a:xfrm flipH="1">
          <a:off x="65532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60960</xdr:colOff>
          <xdr:row>3</xdr:row>
          <xdr:rowOff>30480</xdr:rowOff>
        </xdr:from>
        <xdr:to>
          <xdr:col>18</xdr:col>
          <xdr:colOff>533400</xdr:colOff>
          <xdr:row>3</xdr:row>
          <xdr:rowOff>335280</xdr:rowOff>
        </xdr:to>
        <xdr:sp macro="" textlink="">
          <xdr:nvSpPr>
            <xdr:cNvPr id="14337" name="Btn_0" hidden="1">
              <a:extLst>
                <a:ext uri="{63B3BB69-23CF-44E3-9099-C40C66FF867C}">
                  <a14:compatExt spid="_x0000_s14337"/>
                </a:ext>
                <a:ext uri="{FF2B5EF4-FFF2-40B4-BE49-F238E27FC236}">
                  <a16:creationId xmlns:a16="http://schemas.microsoft.com/office/drawing/2014/main" id="{00000000-0008-0000-0900-0000013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900" b="0" i="0" u="none" strike="noStrike" baseline="0">
                  <a:solidFill>
                    <a:srgbClr val="000000"/>
                  </a:solidFill>
                  <a:latin typeface="メイリオ"/>
                  <a:ea typeface="メイリオ"/>
                </a:rPr>
                <a:t>新しい週を追加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60960</xdr:colOff>
          <xdr:row>3</xdr:row>
          <xdr:rowOff>441960</xdr:rowOff>
        </xdr:from>
        <xdr:to>
          <xdr:col>18</xdr:col>
          <xdr:colOff>533400</xdr:colOff>
          <xdr:row>4</xdr:row>
          <xdr:rowOff>45720</xdr:rowOff>
        </xdr:to>
        <xdr:sp macro="" textlink="">
          <xdr:nvSpPr>
            <xdr:cNvPr id="14338" name="Btn_1" hidden="1">
              <a:extLst>
                <a:ext uri="{63B3BB69-23CF-44E3-9099-C40C66FF867C}">
                  <a14:compatExt spid="_x0000_s14338"/>
                </a:ext>
                <a:ext uri="{FF2B5EF4-FFF2-40B4-BE49-F238E27FC236}">
                  <a16:creationId xmlns:a16="http://schemas.microsoft.com/office/drawing/2014/main" id="{00000000-0008-0000-0900-0000023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900" b="0" i="0" u="none" strike="noStrike" baseline="0">
                  <a:solidFill>
                    <a:srgbClr val="000000"/>
                  </a:solidFill>
                  <a:latin typeface="メイリオ"/>
                  <a:ea typeface="メイリオ"/>
                </a:rPr>
                <a:t>時間割を再展開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60960</xdr:colOff>
          <xdr:row>4</xdr:row>
          <xdr:rowOff>144780</xdr:rowOff>
        </xdr:from>
        <xdr:to>
          <xdr:col>18</xdr:col>
          <xdr:colOff>533400</xdr:colOff>
          <xdr:row>5</xdr:row>
          <xdr:rowOff>220980</xdr:rowOff>
        </xdr:to>
        <xdr:sp macro="" textlink="">
          <xdr:nvSpPr>
            <xdr:cNvPr id="14339" name="Btn_2" hidden="1">
              <a:extLst>
                <a:ext uri="{63B3BB69-23CF-44E3-9099-C40C66FF867C}">
                  <a14:compatExt spid="_x0000_s14339"/>
                </a:ext>
                <a:ext uri="{FF2B5EF4-FFF2-40B4-BE49-F238E27FC236}">
                  <a16:creationId xmlns:a16="http://schemas.microsoft.com/office/drawing/2014/main" id="{00000000-0008-0000-0900-0000033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900" b="0" i="0" u="none" strike="noStrike" baseline="0">
                  <a:solidFill>
                    <a:srgbClr val="000000"/>
                  </a:solidFill>
                  <a:latin typeface="メイリオ"/>
                  <a:ea typeface="メイリオ"/>
                </a:rPr>
                <a:t>累計を更新</a:t>
              </a:r>
            </a:p>
          </xdr:txBody>
        </xdr:sp>
        <xdr:clientData fPrintsWithSheet="0"/>
      </xdr:twoCellAnchor>
    </mc:Choice>
    <mc:Fallback/>
  </mc:AlternateContent>
  <xdr:twoCellAnchor>
    <xdr:from>
      <xdr:col>1</xdr:col>
      <xdr:colOff>0</xdr:colOff>
      <xdr:row>22</xdr:row>
      <xdr:rowOff>0</xdr:rowOff>
    </xdr:from>
    <xdr:to>
      <xdr:col>2</xdr:col>
      <xdr:colOff>0</xdr:colOff>
      <xdr:row>24</xdr:row>
      <xdr:rowOff>0</xdr:rowOff>
    </xdr:to>
    <xdr:cxnSp macro="">
      <xdr:nvCxnSpPr>
        <xdr:cNvPr id="17" name="DiagLine1">
          <a:extLst>
            <a:ext uri="{FF2B5EF4-FFF2-40B4-BE49-F238E27FC236}">
              <a16:creationId xmlns:a16="http://schemas.microsoft.com/office/drawing/2014/main" id="{A36C4350-B018-A536-D3E1-205462608D98}"/>
            </a:ext>
          </a:extLst>
        </xdr:cNvPr>
        <xdr:cNvCxnSpPr/>
      </xdr:nvCxnSpPr>
      <xdr:spPr>
        <a:xfrm flipH="1">
          <a:off x="4191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22</xdr:row>
      <xdr:rowOff>0</xdr:rowOff>
    </xdr:from>
    <xdr:to>
      <xdr:col>3</xdr:col>
      <xdr:colOff>0</xdr:colOff>
      <xdr:row>24</xdr:row>
      <xdr:rowOff>0</xdr:rowOff>
    </xdr:to>
    <xdr:cxnSp macro="">
      <xdr:nvCxnSpPr>
        <xdr:cNvPr id="18" name="DiagLine2">
          <a:extLst>
            <a:ext uri="{FF2B5EF4-FFF2-40B4-BE49-F238E27FC236}">
              <a16:creationId xmlns:a16="http://schemas.microsoft.com/office/drawing/2014/main" id="{A57BC7A4-3344-AF5E-3327-BF81A1411B9B}"/>
            </a:ext>
          </a:extLst>
        </xdr:cNvPr>
        <xdr:cNvCxnSpPr/>
      </xdr:nvCxnSpPr>
      <xdr:spPr>
        <a:xfrm flipH="1">
          <a:off x="8572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0</xdr:rowOff>
    </xdr:from>
    <xdr:to>
      <xdr:col>4</xdr:col>
      <xdr:colOff>0</xdr:colOff>
      <xdr:row>24</xdr:row>
      <xdr:rowOff>0</xdr:rowOff>
    </xdr:to>
    <xdr:cxnSp macro="">
      <xdr:nvCxnSpPr>
        <xdr:cNvPr id="19" name="DiagLine3">
          <a:extLst>
            <a:ext uri="{FF2B5EF4-FFF2-40B4-BE49-F238E27FC236}">
              <a16:creationId xmlns:a16="http://schemas.microsoft.com/office/drawing/2014/main" id="{D5C76623-FF44-657A-0A77-015A97F922D6}"/>
            </a:ext>
          </a:extLst>
        </xdr:cNvPr>
        <xdr:cNvCxnSpPr/>
      </xdr:nvCxnSpPr>
      <xdr:spPr>
        <a:xfrm flipH="1">
          <a:off x="12954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22</xdr:row>
      <xdr:rowOff>0</xdr:rowOff>
    </xdr:from>
    <xdr:to>
      <xdr:col>5</xdr:col>
      <xdr:colOff>0</xdr:colOff>
      <xdr:row>24</xdr:row>
      <xdr:rowOff>0</xdr:rowOff>
    </xdr:to>
    <xdr:cxnSp macro="">
      <xdr:nvCxnSpPr>
        <xdr:cNvPr id="20" name="DiagLine4">
          <a:extLst>
            <a:ext uri="{FF2B5EF4-FFF2-40B4-BE49-F238E27FC236}">
              <a16:creationId xmlns:a16="http://schemas.microsoft.com/office/drawing/2014/main" id="{0B4587C5-49E9-6FF3-37A7-50CC750C8A7F}"/>
            </a:ext>
          </a:extLst>
        </xdr:cNvPr>
        <xdr:cNvCxnSpPr/>
      </xdr:nvCxnSpPr>
      <xdr:spPr>
        <a:xfrm flipH="1">
          <a:off x="17335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22</xdr:row>
      <xdr:rowOff>0</xdr:rowOff>
    </xdr:from>
    <xdr:to>
      <xdr:col>6</xdr:col>
      <xdr:colOff>0</xdr:colOff>
      <xdr:row>24</xdr:row>
      <xdr:rowOff>0</xdr:rowOff>
    </xdr:to>
    <xdr:cxnSp macro="">
      <xdr:nvCxnSpPr>
        <xdr:cNvPr id="21" name="DiagLine5">
          <a:extLst>
            <a:ext uri="{FF2B5EF4-FFF2-40B4-BE49-F238E27FC236}">
              <a16:creationId xmlns:a16="http://schemas.microsoft.com/office/drawing/2014/main" id="{876BEE0D-BD11-9B25-4CAE-75E0BE8D5251}"/>
            </a:ext>
          </a:extLst>
        </xdr:cNvPr>
        <xdr:cNvCxnSpPr/>
      </xdr:nvCxnSpPr>
      <xdr:spPr>
        <a:xfrm flipH="1">
          <a:off x="21717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22</xdr:row>
      <xdr:rowOff>0</xdr:rowOff>
    </xdr:from>
    <xdr:to>
      <xdr:col>7</xdr:col>
      <xdr:colOff>0</xdr:colOff>
      <xdr:row>24</xdr:row>
      <xdr:rowOff>0</xdr:rowOff>
    </xdr:to>
    <xdr:cxnSp macro="">
      <xdr:nvCxnSpPr>
        <xdr:cNvPr id="22" name="DiagLine6">
          <a:extLst>
            <a:ext uri="{FF2B5EF4-FFF2-40B4-BE49-F238E27FC236}">
              <a16:creationId xmlns:a16="http://schemas.microsoft.com/office/drawing/2014/main" id="{E63C5619-C1FB-E002-88E4-EA711C0A188B}"/>
            </a:ext>
          </a:extLst>
        </xdr:cNvPr>
        <xdr:cNvCxnSpPr/>
      </xdr:nvCxnSpPr>
      <xdr:spPr>
        <a:xfrm flipH="1">
          <a:off x="26098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22</xdr:row>
      <xdr:rowOff>0</xdr:rowOff>
    </xdr:from>
    <xdr:to>
      <xdr:col>8</xdr:col>
      <xdr:colOff>0</xdr:colOff>
      <xdr:row>24</xdr:row>
      <xdr:rowOff>0</xdr:rowOff>
    </xdr:to>
    <xdr:cxnSp macro="">
      <xdr:nvCxnSpPr>
        <xdr:cNvPr id="23" name="DiagLine7">
          <a:extLst>
            <a:ext uri="{FF2B5EF4-FFF2-40B4-BE49-F238E27FC236}">
              <a16:creationId xmlns:a16="http://schemas.microsoft.com/office/drawing/2014/main" id="{8B8FAF0B-73E6-0313-DCB6-83C3A9995138}"/>
            </a:ext>
          </a:extLst>
        </xdr:cNvPr>
        <xdr:cNvCxnSpPr/>
      </xdr:nvCxnSpPr>
      <xdr:spPr>
        <a:xfrm flipH="1">
          <a:off x="30480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22</xdr:row>
      <xdr:rowOff>0</xdr:rowOff>
    </xdr:from>
    <xdr:to>
      <xdr:col>9</xdr:col>
      <xdr:colOff>0</xdr:colOff>
      <xdr:row>24</xdr:row>
      <xdr:rowOff>0</xdr:rowOff>
    </xdr:to>
    <xdr:cxnSp macro="">
      <xdr:nvCxnSpPr>
        <xdr:cNvPr id="24" name="DiagLine8">
          <a:extLst>
            <a:ext uri="{FF2B5EF4-FFF2-40B4-BE49-F238E27FC236}">
              <a16:creationId xmlns:a16="http://schemas.microsoft.com/office/drawing/2014/main" id="{21953994-EABD-6F86-A865-BEAB98D21B5A}"/>
            </a:ext>
          </a:extLst>
        </xdr:cNvPr>
        <xdr:cNvCxnSpPr/>
      </xdr:nvCxnSpPr>
      <xdr:spPr>
        <a:xfrm flipH="1">
          <a:off x="34861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22</xdr:row>
      <xdr:rowOff>0</xdr:rowOff>
    </xdr:from>
    <xdr:to>
      <xdr:col>10</xdr:col>
      <xdr:colOff>0</xdr:colOff>
      <xdr:row>24</xdr:row>
      <xdr:rowOff>0</xdr:rowOff>
    </xdr:to>
    <xdr:cxnSp macro="">
      <xdr:nvCxnSpPr>
        <xdr:cNvPr id="25" name="DiagLine9">
          <a:extLst>
            <a:ext uri="{FF2B5EF4-FFF2-40B4-BE49-F238E27FC236}">
              <a16:creationId xmlns:a16="http://schemas.microsoft.com/office/drawing/2014/main" id="{D8D4E71E-7EEF-74E9-7621-28C3AE6093CB}"/>
            </a:ext>
          </a:extLst>
        </xdr:cNvPr>
        <xdr:cNvCxnSpPr/>
      </xdr:nvCxnSpPr>
      <xdr:spPr>
        <a:xfrm flipH="1">
          <a:off x="39243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22</xdr:row>
      <xdr:rowOff>0</xdr:rowOff>
    </xdr:from>
    <xdr:to>
      <xdr:col>11</xdr:col>
      <xdr:colOff>0</xdr:colOff>
      <xdr:row>24</xdr:row>
      <xdr:rowOff>0</xdr:rowOff>
    </xdr:to>
    <xdr:cxnSp macro="">
      <xdr:nvCxnSpPr>
        <xdr:cNvPr id="26" name="DiagLine10">
          <a:extLst>
            <a:ext uri="{FF2B5EF4-FFF2-40B4-BE49-F238E27FC236}">
              <a16:creationId xmlns:a16="http://schemas.microsoft.com/office/drawing/2014/main" id="{32867D61-0414-E4E0-3A14-ABC3FF47ED0F}"/>
            </a:ext>
          </a:extLst>
        </xdr:cNvPr>
        <xdr:cNvCxnSpPr/>
      </xdr:nvCxnSpPr>
      <xdr:spPr>
        <a:xfrm flipH="1">
          <a:off x="43624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22</xdr:row>
      <xdr:rowOff>0</xdr:rowOff>
    </xdr:from>
    <xdr:to>
      <xdr:col>12</xdr:col>
      <xdr:colOff>0</xdr:colOff>
      <xdr:row>24</xdr:row>
      <xdr:rowOff>0</xdr:rowOff>
    </xdr:to>
    <xdr:cxnSp macro="">
      <xdr:nvCxnSpPr>
        <xdr:cNvPr id="27" name="DiagLine11">
          <a:extLst>
            <a:ext uri="{FF2B5EF4-FFF2-40B4-BE49-F238E27FC236}">
              <a16:creationId xmlns:a16="http://schemas.microsoft.com/office/drawing/2014/main" id="{565618A1-6AC3-6FBD-4499-385C57C31E81}"/>
            </a:ext>
          </a:extLst>
        </xdr:cNvPr>
        <xdr:cNvCxnSpPr/>
      </xdr:nvCxnSpPr>
      <xdr:spPr>
        <a:xfrm flipH="1">
          <a:off x="48006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22</xdr:row>
      <xdr:rowOff>0</xdr:rowOff>
    </xdr:from>
    <xdr:to>
      <xdr:col>13</xdr:col>
      <xdr:colOff>0</xdr:colOff>
      <xdr:row>24</xdr:row>
      <xdr:rowOff>0</xdr:rowOff>
    </xdr:to>
    <xdr:cxnSp macro="">
      <xdr:nvCxnSpPr>
        <xdr:cNvPr id="28" name="DiagLine12">
          <a:extLst>
            <a:ext uri="{FF2B5EF4-FFF2-40B4-BE49-F238E27FC236}">
              <a16:creationId xmlns:a16="http://schemas.microsoft.com/office/drawing/2014/main" id="{49F658E3-77FE-CA7A-C2CF-7486DCB3EB4C}"/>
            </a:ext>
          </a:extLst>
        </xdr:cNvPr>
        <xdr:cNvCxnSpPr/>
      </xdr:nvCxnSpPr>
      <xdr:spPr>
        <a:xfrm flipH="1">
          <a:off x="52387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22</xdr:row>
      <xdr:rowOff>0</xdr:rowOff>
    </xdr:from>
    <xdr:to>
      <xdr:col>14</xdr:col>
      <xdr:colOff>0</xdr:colOff>
      <xdr:row>24</xdr:row>
      <xdr:rowOff>0</xdr:rowOff>
    </xdr:to>
    <xdr:cxnSp macro="">
      <xdr:nvCxnSpPr>
        <xdr:cNvPr id="29" name="DiagLine13">
          <a:extLst>
            <a:ext uri="{FF2B5EF4-FFF2-40B4-BE49-F238E27FC236}">
              <a16:creationId xmlns:a16="http://schemas.microsoft.com/office/drawing/2014/main" id="{29875203-0ABA-6842-C3F1-A7BAFAEB8788}"/>
            </a:ext>
          </a:extLst>
        </xdr:cNvPr>
        <xdr:cNvCxnSpPr/>
      </xdr:nvCxnSpPr>
      <xdr:spPr>
        <a:xfrm flipH="1">
          <a:off x="56769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22</xdr:row>
      <xdr:rowOff>0</xdr:rowOff>
    </xdr:from>
    <xdr:to>
      <xdr:col>15</xdr:col>
      <xdr:colOff>0</xdr:colOff>
      <xdr:row>24</xdr:row>
      <xdr:rowOff>0</xdr:rowOff>
    </xdr:to>
    <xdr:cxnSp macro="">
      <xdr:nvCxnSpPr>
        <xdr:cNvPr id="30" name="DiagLine14">
          <a:extLst>
            <a:ext uri="{FF2B5EF4-FFF2-40B4-BE49-F238E27FC236}">
              <a16:creationId xmlns:a16="http://schemas.microsoft.com/office/drawing/2014/main" id="{D2DC670D-DEB4-DB1C-9180-13DA8A302FDC}"/>
            </a:ext>
          </a:extLst>
        </xdr:cNvPr>
        <xdr:cNvCxnSpPr/>
      </xdr:nvCxnSpPr>
      <xdr:spPr>
        <a:xfrm flipH="1">
          <a:off x="61150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22</xdr:row>
      <xdr:rowOff>0</xdr:rowOff>
    </xdr:from>
    <xdr:to>
      <xdr:col>16</xdr:col>
      <xdr:colOff>0</xdr:colOff>
      <xdr:row>24</xdr:row>
      <xdr:rowOff>0</xdr:rowOff>
    </xdr:to>
    <xdr:cxnSp macro="">
      <xdr:nvCxnSpPr>
        <xdr:cNvPr id="31" name="DiagLine15">
          <a:extLst>
            <a:ext uri="{FF2B5EF4-FFF2-40B4-BE49-F238E27FC236}">
              <a16:creationId xmlns:a16="http://schemas.microsoft.com/office/drawing/2014/main" id="{C9367751-932C-BD41-A178-949C558868E7}"/>
            </a:ext>
          </a:extLst>
        </xdr:cNvPr>
        <xdr:cNvCxnSpPr/>
      </xdr:nvCxnSpPr>
      <xdr:spPr>
        <a:xfrm flipH="1">
          <a:off x="65532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60960</xdr:colOff>
          <xdr:row>3</xdr:row>
          <xdr:rowOff>30480</xdr:rowOff>
        </xdr:from>
        <xdr:to>
          <xdr:col>18</xdr:col>
          <xdr:colOff>533400</xdr:colOff>
          <xdr:row>3</xdr:row>
          <xdr:rowOff>335280</xdr:rowOff>
        </xdr:to>
        <xdr:sp macro="" textlink="">
          <xdr:nvSpPr>
            <xdr:cNvPr id="15361" name="Btn_0" hidden="1">
              <a:extLst>
                <a:ext uri="{63B3BB69-23CF-44E3-9099-C40C66FF867C}">
                  <a14:compatExt spid="_x0000_s15361"/>
                </a:ext>
                <a:ext uri="{FF2B5EF4-FFF2-40B4-BE49-F238E27FC236}">
                  <a16:creationId xmlns:a16="http://schemas.microsoft.com/office/drawing/2014/main" id="{00000000-0008-0000-0A00-0000013C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900" b="0" i="0" u="none" strike="noStrike" baseline="0">
                  <a:solidFill>
                    <a:srgbClr val="000000"/>
                  </a:solidFill>
                  <a:latin typeface="メイリオ"/>
                  <a:ea typeface="メイリオ"/>
                </a:rPr>
                <a:t>新しい週を追加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60960</xdr:colOff>
          <xdr:row>3</xdr:row>
          <xdr:rowOff>441960</xdr:rowOff>
        </xdr:from>
        <xdr:to>
          <xdr:col>18</xdr:col>
          <xdr:colOff>533400</xdr:colOff>
          <xdr:row>4</xdr:row>
          <xdr:rowOff>45720</xdr:rowOff>
        </xdr:to>
        <xdr:sp macro="" textlink="">
          <xdr:nvSpPr>
            <xdr:cNvPr id="15362" name="Btn_1" hidden="1">
              <a:extLst>
                <a:ext uri="{63B3BB69-23CF-44E3-9099-C40C66FF867C}">
                  <a14:compatExt spid="_x0000_s15362"/>
                </a:ext>
                <a:ext uri="{FF2B5EF4-FFF2-40B4-BE49-F238E27FC236}">
                  <a16:creationId xmlns:a16="http://schemas.microsoft.com/office/drawing/2014/main" id="{00000000-0008-0000-0A00-0000023C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900" b="0" i="0" u="none" strike="noStrike" baseline="0">
                  <a:solidFill>
                    <a:srgbClr val="000000"/>
                  </a:solidFill>
                  <a:latin typeface="メイリオ"/>
                  <a:ea typeface="メイリオ"/>
                </a:rPr>
                <a:t>時間割を再展開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60960</xdr:colOff>
          <xdr:row>4</xdr:row>
          <xdr:rowOff>144780</xdr:rowOff>
        </xdr:from>
        <xdr:to>
          <xdr:col>18</xdr:col>
          <xdr:colOff>533400</xdr:colOff>
          <xdr:row>5</xdr:row>
          <xdr:rowOff>220980</xdr:rowOff>
        </xdr:to>
        <xdr:sp macro="" textlink="">
          <xdr:nvSpPr>
            <xdr:cNvPr id="15363" name="Btn_2" hidden="1">
              <a:extLst>
                <a:ext uri="{63B3BB69-23CF-44E3-9099-C40C66FF867C}">
                  <a14:compatExt spid="_x0000_s15363"/>
                </a:ext>
                <a:ext uri="{FF2B5EF4-FFF2-40B4-BE49-F238E27FC236}">
                  <a16:creationId xmlns:a16="http://schemas.microsoft.com/office/drawing/2014/main" id="{00000000-0008-0000-0A00-0000033C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900" b="0" i="0" u="none" strike="noStrike" baseline="0">
                  <a:solidFill>
                    <a:srgbClr val="000000"/>
                  </a:solidFill>
                  <a:latin typeface="メイリオ"/>
                  <a:ea typeface="メイリオ"/>
                </a:rPr>
                <a:t>累計を更新</a:t>
              </a:r>
            </a:p>
          </xdr:txBody>
        </xdr:sp>
        <xdr:clientData fPrintsWithSheet="0"/>
      </xdr:twoCellAnchor>
    </mc:Choice>
    <mc:Fallback/>
  </mc:AlternateContent>
  <xdr:twoCellAnchor>
    <xdr:from>
      <xdr:col>1</xdr:col>
      <xdr:colOff>0</xdr:colOff>
      <xdr:row>22</xdr:row>
      <xdr:rowOff>0</xdr:rowOff>
    </xdr:from>
    <xdr:to>
      <xdr:col>2</xdr:col>
      <xdr:colOff>0</xdr:colOff>
      <xdr:row>24</xdr:row>
      <xdr:rowOff>0</xdr:rowOff>
    </xdr:to>
    <xdr:cxnSp macro="">
      <xdr:nvCxnSpPr>
        <xdr:cNvPr id="2" name="DiagLine1">
          <a:extLst>
            <a:ext uri="{FF2B5EF4-FFF2-40B4-BE49-F238E27FC236}">
              <a16:creationId xmlns:a16="http://schemas.microsoft.com/office/drawing/2014/main" id="{6623AFDE-B738-3887-8A2A-87B5C7CAD244}"/>
            </a:ext>
          </a:extLst>
        </xdr:cNvPr>
        <xdr:cNvCxnSpPr/>
      </xdr:nvCxnSpPr>
      <xdr:spPr>
        <a:xfrm flipH="1">
          <a:off x="4191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22</xdr:row>
      <xdr:rowOff>0</xdr:rowOff>
    </xdr:from>
    <xdr:to>
      <xdr:col>3</xdr:col>
      <xdr:colOff>0</xdr:colOff>
      <xdr:row>24</xdr:row>
      <xdr:rowOff>0</xdr:rowOff>
    </xdr:to>
    <xdr:cxnSp macro="">
      <xdr:nvCxnSpPr>
        <xdr:cNvPr id="3" name="DiagLine2">
          <a:extLst>
            <a:ext uri="{FF2B5EF4-FFF2-40B4-BE49-F238E27FC236}">
              <a16:creationId xmlns:a16="http://schemas.microsoft.com/office/drawing/2014/main" id="{060A6416-CA6D-0114-CD36-24038B8395E7}"/>
            </a:ext>
          </a:extLst>
        </xdr:cNvPr>
        <xdr:cNvCxnSpPr/>
      </xdr:nvCxnSpPr>
      <xdr:spPr>
        <a:xfrm flipH="1">
          <a:off x="8572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0</xdr:rowOff>
    </xdr:from>
    <xdr:to>
      <xdr:col>4</xdr:col>
      <xdr:colOff>0</xdr:colOff>
      <xdr:row>24</xdr:row>
      <xdr:rowOff>0</xdr:rowOff>
    </xdr:to>
    <xdr:cxnSp macro="">
      <xdr:nvCxnSpPr>
        <xdr:cNvPr id="4" name="DiagLine3">
          <a:extLst>
            <a:ext uri="{FF2B5EF4-FFF2-40B4-BE49-F238E27FC236}">
              <a16:creationId xmlns:a16="http://schemas.microsoft.com/office/drawing/2014/main" id="{1C003187-FB2C-D020-AED1-8446BBE61400}"/>
            </a:ext>
          </a:extLst>
        </xdr:cNvPr>
        <xdr:cNvCxnSpPr/>
      </xdr:nvCxnSpPr>
      <xdr:spPr>
        <a:xfrm flipH="1">
          <a:off x="12954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22</xdr:row>
      <xdr:rowOff>0</xdr:rowOff>
    </xdr:from>
    <xdr:to>
      <xdr:col>5</xdr:col>
      <xdr:colOff>0</xdr:colOff>
      <xdr:row>24</xdr:row>
      <xdr:rowOff>0</xdr:rowOff>
    </xdr:to>
    <xdr:cxnSp macro="">
      <xdr:nvCxnSpPr>
        <xdr:cNvPr id="5" name="DiagLine4">
          <a:extLst>
            <a:ext uri="{FF2B5EF4-FFF2-40B4-BE49-F238E27FC236}">
              <a16:creationId xmlns:a16="http://schemas.microsoft.com/office/drawing/2014/main" id="{475C27EC-C9F3-A331-F9C1-E800B025A960}"/>
            </a:ext>
          </a:extLst>
        </xdr:cNvPr>
        <xdr:cNvCxnSpPr/>
      </xdr:nvCxnSpPr>
      <xdr:spPr>
        <a:xfrm flipH="1">
          <a:off x="17335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22</xdr:row>
      <xdr:rowOff>0</xdr:rowOff>
    </xdr:from>
    <xdr:to>
      <xdr:col>6</xdr:col>
      <xdr:colOff>0</xdr:colOff>
      <xdr:row>24</xdr:row>
      <xdr:rowOff>0</xdr:rowOff>
    </xdr:to>
    <xdr:cxnSp macro="">
      <xdr:nvCxnSpPr>
        <xdr:cNvPr id="6" name="DiagLine5">
          <a:extLst>
            <a:ext uri="{FF2B5EF4-FFF2-40B4-BE49-F238E27FC236}">
              <a16:creationId xmlns:a16="http://schemas.microsoft.com/office/drawing/2014/main" id="{915248AC-CF4E-7DD5-5EE4-09545EA2D32F}"/>
            </a:ext>
          </a:extLst>
        </xdr:cNvPr>
        <xdr:cNvCxnSpPr/>
      </xdr:nvCxnSpPr>
      <xdr:spPr>
        <a:xfrm flipH="1">
          <a:off x="21717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22</xdr:row>
      <xdr:rowOff>0</xdr:rowOff>
    </xdr:from>
    <xdr:to>
      <xdr:col>7</xdr:col>
      <xdr:colOff>0</xdr:colOff>
      <xdr:row>24</xdr:row>
      <xdr:rowOff>0</xdr:rowOff>
    </xdr:to>
    <xdr:cxnSp macro="">
      <xdr:nvCxnSpPr>
        <xdr:cNvPr id="7" name="DiagLine6">
          <a:extLst>
            <a:ext uri="{FF2B5EF4-FFF2-40B4-BE49-F238E27FC236}">
              <a16:creationId xmlns:a16="http://schemas.microsoft.com/office/drawing/2014/main" id="{CADC388D-0B40-60B2-D1DD-2D22956E8E13}"/>
            </a:ext>
          </a:extLst>
        </xdr:cNvPr>
        <xdr:cNvCxnSpPr/>
      </xdr:nvCxnSpPr>
      <xdr:spPr>
        <a:xfrm flipH="1">
          <a:off x="26098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22</xdr:row>
      <xdr:rowOff>0</xdr:rowOff>
    </xdr:from>
    <xdr:to>
      <xdr:col>8</xdr:col>
      <xdr:colOff>0</xdr:colOff>
      <xdr:row>24</xdr:row>
      <xdr:rowOff>0</xdr:rowOff>
    </xdr:to>
    <xdr:cxnSp macro="">
      <xdr:nvCxnSpPr>
        <xdr:cNvPr id="8" name="DiagLine7">
          <a:extLst>
            <a:ext uri="{FF2B5EF4-FFF2-40B4-BE49-F238E27FC236}">
              <a16:creationId xmlns:a16="http://schemas.microsoft.com/office/drawing/2014/main" id="{4B781E63-4639-CEAA-619D-24B105F68084}"/>
            </a:ext>
          </a:extLst>
        </xdr:cNvPr>
        <xdr:cNvCxnSpPr/>
      </xdr:nvCxnSpPr>
      <xdr:spPr>
        <a:xfrm flipH="1">
          <a:off x="30480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22</xdr:row>
      <xdr:rowOff>0</xdr:rowOff>
    </xdr:from>
    <xdr:to>
      <xdr:col>9</xdr:col>
      <xdr:colOff>0</xdr:colOff>
      <xdr:row>24</xdr:row>
      <xdr:rowOff>0</xdr:rowOff>
    </xdr:to>
    <xdr:cxnSp macro="">
      <xdr:nvCxnSpPr>
        <xdr:cNvPr id="9" name="DiagLine8">
          <a:extLst>
            <a:ext uri="{FF2B5EF4-FFF2-40B4-BE49-F238E27FC236}">
              <a16:creationId xmlns:a16="http://schemas.microsoft.com/office/drawing/2014/main" id="{11A22465-48DB-863D-D96D-83CA9944DC35}"/>
            </a:ext>
          </a:extLst>
        </xdr:cNvPr>
        <xdr:cNvCxnSpPr/>
      </xdr:nvCxnSpPr>
      <xdr:spPr>
        <a:xfrm flipH="1">
          <a:off x="34861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22</xdr:row>
      <xdr:rowOff>0</xdr:rowOff>
    </xdr:from>
    <xdr:to>
      <xdr:col>10</xdr:col>
      <xdr:colOff>0</xdr:colOff>
      <xdr:row>24</xdr:row>
      <xdr:rowOff>0</xdr:rowOff>
    </xdr:to>
    <xdr:cxnSp macro="">
      <xdr:nvCxnSpPr>
        <xdr:cNvPr id="10" name="DiagLine9">
          <a:extLst>
            <a:ext uri="{FF2B5EF4-FFF2-40B4-BE49-F238E27FC236}">
              <a16:creationId xmlns:a16="http://schemas.microsoft.com/office/drawing/2014/main" id="{D8413A40-2A74-2DD5-89BD-D8F295532485}"/>
            </a:ext>
          </a:extLst>
        </xdr:cNvPr>
        <xdr:cNvCxnSpPr/>
      </xdr:nvCxnSpPr>
      <xdr:spPr>
        <a:xfrm flipH="1">
          <a:off x="39243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22</xdr:row>
      <xdr:rowOff>0</xdr:rowOff>
    </xdr:from>
    <xdr:to>
      <xdr:col>11</xdr:col>
      <xdr:colOff>0</xdr:colOff>
      <xdr:row>24</xdr:row>
      <xdr:rowOff>0</xdr:rowOff>
    </xdr:to>
    <xdr:cxnSp macro="">
      <xdr:nvCxnSpPr>
        <xdr:cNvPr id="11" name="DiagLine10">
          <a:extLst>
            <a:ext uri="{FF2B5EF4-FFF2-40B4-BE49-F238E27FC236}">
              <a16:creationId xmlns:a16="http://schemas.microsoft.com/office/drawing/2014/main" id="{0B94AE53-B1A6-075F-3819-6CB52CE3C08C}"/>
            </a:ext>
          </a:extLst>
        </xdr:cNvPr>
        <xdr:cNvCxnSpPr/>
      </xdr:nvCxnSpPr>
      <xdr:spPr>
        <a:xfrm flipH="1">
          <a:off x="43624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22</xdr:row>
      <xdr:rowOff>0</xdr:rowOff>
    </xdr:from>
    <xdr:to>
      <xdr:col>12</xdr:col>
      <xdr:colOff>0</xdr:colOff>
      <xdr:row>24</xdr:row>
      <xdr:rowOff>0</xdr:rowOff>
    </xdr:to>
    <xdr:cxnSp macro="">
      <xdr:nvCxnSpPr>
        <xdr:cNvPr id="12" name="DiagLine11">
          <a:extLst>
            <a:ext uri="{FF2B5EF4-FFF2-40B4-BE49-F238E27FC236}">
              <a16:creationId xmlns:a16="http://schemas.microsoft.com/office/drawing/2014/main" id="{5A95835E-E06A-8EEA-312F-72B25D356E25}"/>
            </a:ext>
          </a:extLst>
        </xdr:cNvPr>
        <xdr:cNvCxnSpPr/>
      </xdr:nvCxnSpPr>
      <xdr:spPr>
        <a:xfrm flipH="1">
          <a:off x="48006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22</xdr:row>
      <xdr:rowOff>0</xdr:rowOff>
    </xdr:from>
    <xdr:to>
      <xdr:col>13</xdr:col>
      <xdr:colOff>0</xdr:colOff>
      <xdr:row>24</xdr:row>
      <xdr:rowOff>0</xdr:rowOff>
    </xdr:to>
    <xdr:cxnSp macro="">
      <xdr:nvCxnSpPr>
        <xdr:cNvPr id="13" name="DiagLine12">
          <a:extLst>
            <a:ext uri="{FF2B5EF4-FFF2-40B4-BE49-F238E27FC236}">
              <a16:creationId xmlns:a16="http://schemas.microsoft.com/office/drawing/2014/main" id="{D8050036-D3D1-1631-DFE9-ABB1935DDF88}"/>
            </a:ext>
          </a:extLst>
        </xdr:cNvPr>
        <xdr:cNvCxnSpPr/>
      </xdr:nvCxnSpPr>
      <xdr:spPr>
        <a:xfrm flipH="1">
          <a:off x="52387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22</xdr:row>
      <xdr:rowOff>0</xdr:rowOff>
    </xdr:from>
    <xdr:to>
      <xdr:col>14</xdr:col>
      <xdr:colOff>0</xdr:colOff>
      <xdr:row>24</xdr:row>
      <xdr:rowOff>0</xdr:rowOff>
    </xdr:to>
    <xdr:cxnSp macro="">
      <xdr:nvCxnSpPr>
        <xdr:cNvPr id="14" name="DiagLine13">
          <a:extLst>
            <a:ext uri="{FF2B5EF4-FFF2-40B4-BE49-F238E27FC236}">
              <a16:creationId xmlns:a16="http://schemas.microsoft.com/office/drawing/2014/main" id="{FFDC2277-2DF8-4B21-4544-68965849CFBF}"/>
            </a:ext>
          </a:extLst>
        </xdr:cNvPr>
        <xdr:cNvCxnSpPr/>
      </xdr:nvCxnSpPr>
      <xdr:spPr>
        <a:xfrm flipH="1">
          <a:off x="56769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22</xdr:row>
      <xdr:rowOff>0</xdr:rowOff>
    </xdr:from>
    <xdr:to>
      <xdr:col>15</xdr:col>
      <xdr:colOff>0</xdr:colOff>
      <xdr:row>24</xdr:row>
      <xdr:rowOff>0</xdr:rowOff>
    </xdr:to>
    <xdr:cxnSp macro="">
      <xdr:nvCxnSpPr>
        <xdr:cNvPr id="15" name="DiagLine14">
          <a:extLst>
            <a:ext uri="{FF2B5EF4-FFF2-40B4-BE49-F238E27FC236}">
              <a16:creationId xmlns:a16="http://schemas.microsoft.com/office/drawing/2014/main" id="{DFC3AFD8-6F93-B274-9EE5-EE6652811651}"/>
            </a:ext>
          </a:extLst>
        </xdr:cNvPr>
        <xdr:cNvCxnSpPr/>
      </xdr:nvCxnSpPr>
      <xdr:spPr>
        <a:xfrm flipH="1">
          <a:off x="61150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22</xdr:row>
      <xdr:rowOff>0</xdr:rowOff>
    </xdr:from>
    <xdr:to>
      <xdr:col>16</xdr:col>
      <xdr:colOff>0</xdr:colOff>
      <xdr:row>24</xdr:row>
      <xdr:rowOff>0</xdr:rowOff>
    </xdr:to>
    <xdr:cxnSp macro="">
      <xdr:nvCxnSpPr>
        <xdr:cNvPr id="16" name="DiagLine15">
          <a:extLst>
            <a:ext uri="{FF2B5EF4-FFF2-40B4-BE49-F238E27FC236}">
              <a16:creationId xmlns:a16="http://schemas.microsoft.com/office/drawing/2014/main" id="{FD9E097D-23F1-0670-1911-EE4C6EA51D9C}"/>
            </a:ext>
          </a:extLst>
        </xdr:cNvPr>
        <xdr:cNvCxnSpPr/>
      </xdr:nvCxnSpPr>
      <xdr:spPr>
        <a:xfrm flipH="1">
          <a:off x="65532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60960</xdr:colOff>
          <xdr:row>3</xdr:row>
          <xdr:rowOff>30480</xdr:rowOff>
        </xdr:from>
        <xdr:to>
          <xdr:col>18</xdr:col>
          <xdr:colOff>533400</xdr:colOff>
          <xdr:row>3</xdr:row>
          <xdr:rowOff>335280</xdr:rowOff>
        </xdr:to>
        <xdr:sp macro="" textlink="">
          <xdr:nvSpPr>
            <xdr:cNvPr id="16385" name="Btn_0" hidden="1">
              <a:extLst>
                <a:ext uri="{63B3BB69-23CF-44E3-9099-C40C66FF867C}">
                  <a14:compatExt spid="_x0000_s16385"/>
                </a:ext>
                <a:ext uri="{FF2B5EF4-FFF2-40B4-BE49-F238E27FC236}">
                  <a16:creationId xmlns:a16="http://schemas.microsoft.com/office/drawing/2014/main" id="{00000000-0008-0000-0B00-0000014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900" b="0" i="0" u="none" strike="noStrike" baseline="0">
                  <a:solidFill>
                    <a:srgbClr val="000000"/>
                  </a:solidFill>
                  <a:latin typeface="メイリオ"/>
                  <a:ea typeface="メイリオ"/>
                </a:rPr>
                <a:t>新しい週を追加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60960</xdr:colOff>
          <xdr:row>3</xdr:row>
          <xdr:rowOff>441960</xdr:rowOff>
        </xdr:from>
        <xdr:to>
          <xdr:col>18</xdr:col>
          <xdr:colOff>533400</xdr:colOff>
          <xdr:row>4</xdr:row>
          <xdr:rowOff>45720</xdr:rowOff>
        </xdr:to>
        <xdr:sp macro="" textlink="">
          <xdr:nvSpPr>
            <xdr:cNvPr id="16386" name="Btn_1" hidden="1">
              <a:extLst>
                <a:ext uri="{63B3BB69-23CF-44E3-9099-C40C66FF867C}">
                  <a14:compatExt spid="_x0000_s16386"/>
                </a:ext>
                <a:ext uri="{FF2B5EF4-FFF2-40B4-BE49-F238E27FC236}">
                  <a16:creationId xmlns:a16="http://schemas.microsoft.com/office/drawing/2014/main" id="{00000000-0008-0000-0B00-0000024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900" b="0" i="0" u="none" strike="noStrike" baseline="0">
                  <a:solidFill>
                    <a:srgbClr val="000000"/>
                  </a:solidFill>
                  <a:latin typeface="メイリオ"/>
                  <a:ea typeface="メイリオ"/>
                </a:rPr>
                <a:t>時間割を再展開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60960</xdr:colOff>
          <xdr:row>4</xdr:row>
          <xdr:rowOff>144780</xdr:rowOff>
        </xdr:from>
        <xdr:to>
          <xdr:col>18</xdr:col>
          <xdr:colOff>533400</xdr:colOff>
          <xdr:row>5</xdr:row>
          <xdr:rowOff>220980</xdr:rowOff>
        </xdr:to>
        <xdr:sp macro="" textlink="">
          <xdr:nvSpPr>
            <xdr:cNvPr id="16387" name="Btn_2" hidden="1">
              <a:extLst>
                <a:ext uri="{63B3BB69-23CF-44E3-9099-C40C66FF867C}">
                  <a14:compatExt spid="_x0000_s16387"/>
                </a:ext>
                <a:ext uri="{FF2B5EF4-FFF2-40B4-BE49-F238E27FC236}">
                  <a16:creationId xmlns:a16="http://schemas.microsoft.com/office/drawing/2014/main" id="{00000000-0008-0000-0B00-0000034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900" b="0" i="0" u="none" strike="noStrike" baseline="0">
                  <a:solidFill>
                    <a:srgbClr val="000000"/>
                  </a:solidFill>
                  <a:latin typeface="メイリオ"/>
                  <a:ea typeface="メイリオ"/>
                </a:rPr>
                <a:t>累計を更新</a:t>
              </a:r>
            </a:p>
          </xdr:txBody>
        </xdr:sp>
        <xdr:clientData fPrintsWithSheet="0"/>
      </xdr:twoCellAnchor>
    </mc:Choice>
    <mc:Fallback/>
  </mc:AlternateContent>
  <xdr:twoCellAnchor>
    <xdr:from>
      <xdr:col>1</xdr:col>
      <xdr:colOff>0</xdr:colOff>
      <xdr:row>22</xdr:row>
      <xdr:rowOff>0</xdr:rowOff>
    </xdr:from>
    <xdr:to>
      <xdr:col>2</xdr:col>
      <xdr:colOff>0</xdr:colOff>
      <xdr:row>24</xdr:row>
      <xdr:rowOff>0</xdr:rowOff>
    </xdr:to>
    <xdr:cxnSp macro="">
      <xdr:nvCxnSpPr>
        <xdr:cNvPr id="17" name="DiagLine1">
          <a:extLst>
            <a:ext uri="{FF2B5EF4-FFF2-40B4-BE49-F238E27FC236}">
              <a16:creationId xmlns:a16="http://schemas.microsoft.com/office/drawing/2014/main" id="{291FD2FF-ECCF-7C44-762B-6941C8B655C5}"/>
            </a:ext>
          </a:extLst>
        </xdr:cNvPr>
        <xdr:cNvCxnSpPr/>
      </xdr:nvCxnSpPr>
      <xdr:spPr>
        <a:xfrm flipH="1">
          <a:off x="4191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22</xdr:row>
      <xdr:rowOff>0</xdr:rowOff>
    </xdr:from>
    <xdr:to>
      <xdr:col>3</xdr:col>
      <xdr:colOff>0</xdr:colOff>
      <xdr:row>24</xdr:row>
      <xdr:rowOff>0</xdr:rowOff>
    </xdr:to>
    <xdr:cxnSp macro="">
      <xdr:nvCxnSpPr>
        <xdr:cNvPr id="18" name="DiagLine2">
          <a:extLst>
            <a:ext uri="{FF2B5EF4-FFF2-40B4-BE49-F238E27FC236}">
              <a16:creationId xmlns:a16="http://schemas.microsoft.com/office/drawing/2014/main" id="{D3621382-DAC7-B64E-D897-2C2D7451F17C}"/>
            </a:ext>
          </a:extLst>
        </xdr:cNvPr>
        <xdr:cNvCxnSpPr/>
      </xdr:nvCxnSpPr>
      <xdr:spPr>
        <a:xfrm flipH="1">
          <a:off x="8572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0</xdr:rowOff>
    </xdr:from>
    <xdr:to>
      <xdr:col>4</xdr:col>
      <xdr:colOff>0</xdr:colOff>
      <xdr:row>24</xdr:row>
      <xdr:rowOff>0</xdr:rowOff>
    </xdr:to>
    <xdr:cxnSp macro="">
      <xdr:nvCxnSpPr>
        <xdr:cNvPr id="19" name="DiagLine3">
          <a:extLst>
            <a:ext uri="{FF2B5EF4-FFF2-40B4-BE49-F238E27FC236}">
              <a16:creationId xmlns:a16="http://schemas.microsoft.com/office/drawing/2014/main" id="{4326755B-7C5A-9DE2-6F34-58A7CAE670F3}"/>
            </a:ext>
          </a:extLst>
        </xdr:cNvPr>
        <xdr:cNvCxnSpPr/>
      </xdr:nvCxnSpPr>
      <xdr:spPr>
        <a:xfrm flipH="1">
          <a:off x="12954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22</xdr:row>
      <xdr:rowOff>0</xdr:rowOff>
    </xdr:from>
    <xdr:to>
      <xdr:col>5</xdr:col>
      <xdr:colOff>0</xdr:colOff>
      <xdr:row>24</xdr:row>
      <xdr:rowOff>0</xdr:rowOff>
    </xdr:to>
    <xdr:cxnSp macro="">
      <xdr:nvCxnSpPr>
        <xdr:cNvPr id="20" name="DiagLine4">
          <a:extLst>
            <a:ext uri="{FF2B5EF4-FFF2-40B4-BE49-F238E27FC236}">
              <a16:creationId xmlns:a16="http://schemas.microsoft.com/office/drawing/2014/main" id="{8B6632EE-5C03-B59E-107D-6E7F9F86AA60}"/>
            </a:ext>
          </a:extLst>
        </xdr:cNvPr>
        <xdr:cNvCxnSpPr/>
      </xdr:nvCxnSpPr>
      <xdr:spPr>
        <a:xfrm flipH="1">
          <a:off x="17335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22</xdr:row>
      <xdr:rowOff>0</xdr:rowOff>
    </xdr:from>
    <xdr:to>
      <xdr:col>6</xdr:col>
      <xdr:colOff>0</xdr:colOff>
      <xdr:row>24</xdr:row>
      <xdr:rowOff>0</xdr:rowOff>
    </xdr:to>
    <xdr:cxnSp macro="">
      <xdr:nvCxnSpPr>
        <xdr:cNvPr id="21" name="DiagLine5">
          <a:extLst>
            <a:ext uri="{FF2B5EF4-FFF2-40B4-BE49-F238E27FC236}">
              <a16:creationId xmlns:a16="http://schemas.microsoft.com/office/drawing/2014/main" id="{72FBEDBF-EF51-FADE-9084-A7CF2AB58957}"/>
            </a:ext>
          </a:extLst>
        </xdr:cNvPr>
        <xdr:cNvCxnSpPr/>
      </xdr:nvCxnSpPr>
      <xdr:spPr>
        <a:xfrm flipH="1">
          <a:off x="21717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22</xdr:row>
      <xdr:rowOff>0</xdr:rowOff>
    </xdr:from>
    <xdr:to>
      <xdr:col>7</xdr:col>
      <xdr:colOff>0</xdr:colOff>
      <xdr:row>24</xdr:row>
      <xdr:rowOff>0</xdr:rowOff>
    </xdr:to>
    <xdr:cxnSp macro="">
      <xdr:nvCxnSpPr>
        <xdr:cNvPr id="22" name="DiagLine6">
          <a:extLst>
            <a:ext uri="{FF2B5EF4-FFF2-40B4-BE49-F238E27FC236}">
              <a16:creationId xmlns:a16="http://schemas.microsoft.com/office/drawing/2014/main" id="{97C5EEDD-014D-D15A-D5F6-35194DF76BB6}"/>
            </a:ext>
          </a:extLst>
        </xdr:cNvPr>
        <xdr:cNvCxnSpPr/>
      </xdr:nvCxnSpPr>
      <xdr:spPr>
        <a:xfrm flipH="1">
          <a:off x="26098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22</xdr:row>
      <xdr:rowOff>0</xdr:rowOff>
    </xdr:from>
    <xdr:to>
      <xdr:col>8</xdr:col>
      <xdr:colOff>0</xdr:colOff>
      <xdr:row>24</xdr:row>
      <xdr:rowOff>0</xdr:rowOff>
    </xdr:to>
    <xdr:cxnSp macro="">
      <xdr:nvCxnSpPr>
        <xdr:cNvPr id="23" name="DiagLine7">
          <a:extLst>
            <a:ext uri="{FF2B5EF4-FFF2-40B4-BE49-F238E27FC236}">
              <a16:creationId xmlns:a16="http://schemas.microsoft.com/office/drawing/2014/main" id="{C09A0831-6872-F9C8-42BC-C7785E1B62FC}"/>
            </a:ext>
          </a:extLst>
        </xdr:cNvPr>
        <xdr:cNvCxnSpPr/>
      </xdr:nvCxnSpPr>
      <xdr:spPr>
        <a:xfrm flipH="1">
          <a:off x="30480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22</xdr:row>
      <xdr:rowOff>0</xdr:rowOff>
    </xdr:from>
    <xdr:to>
      <xdr:col>9</xdr:col>
      <xdr:colOff>0</xdr:colOff>
      <xdr:row>24</xdr:row>
      <xdr:rowOff>0</xdr:rowOff>
    </xdr:to>
    <xdr:cxnSp macro="">
      <xdr:nvCxnSpPr>
        <xdr:cNvPr id="24" name="DiagLine8">
          <a:extLst>
            <a:ext uri="{FF2B5EF4-FFF2-40B4-BE49-F238E27FC236}">
              <a16:creationId xmlns:a16="http://schemas.microsoft.com/office/drawing/2014/main" id="{CC3F90A5-5595-4FEA-9C77-F91EDED12A72}"/>
            </a:ext>
          </a:extLst>
        </xdr:cNvPr>
        <xdr:cNvCxnSpPr/>
      </xdr:nvCxnSpPr>
      <xdr:spPr>
        <a:xfrm flipH="1">
          <a:off x="34861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22</xdr:row>
      <xdr:rowOff>0</xdr:rowOff>
    </xdr:from>
    <xdr:to>
      <xdr:col>10</xdr:col>
      <xdr:colOff>0</xdr:colOff>
      <xdr:row>24</xdr:row>
      <xdr:rowOff>0</xdr:rowOff>
    </xdr:to>
    <xdr:cxnSp macro="">
      <xdr:nvCxnSpPr>
        <xdr:cNvPr id="25" name="DiagLine9">
          <a:extLst>
            <a:ext uri="{FF2B5EF4-FFF2-40B4-BE49-F238E27FC236}">
              <a16:creationId xmlns:a16="http://schemas.microsoft.com/office/drawing/2014/main" id="{628C6503-2520-BEF8-2963-CF6CF63C9F29}"/>
            </a:ext>
          </a:extLst>
        </xdr:cNvPr>
        <xdr:cNvCxnSpPr/>
      </xdr:nvCxnSpPr>
      <xdr:spPr>
        <a:xfrm flipH="1">
          <a:off x="39243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22</xdr:row>
      <xdr:rowOff>0</xdr:rowOff>
    </xdr:from>
    <xdr:to>
      <xdr:col>11</xdr:col>
      <xdr:colOff>0</xdr:colOff>
      <xdr:row>24</xdr:row>
      <xdr:rowOff>0</xdr:rowOff>
    </xdr:to>
    <xdr:cxnSp macro="">
      <xdr:nvCxnSpPr>
        <xdr:cNvPr id="26" name="DiagLine10">
          <a:extLst>
            <a:ext uri="{FF2B5EF4-FFF2-40B4-BE49-F238E27FC236}">
              <a16:creationId xmlns:a16="http://schemas.microsoft.com/office/drawing/2014/main" id="{200C2D86-5315-CAC5-332A-B1F46A1051D1}"/>
            </a:ext>
          </a:extLst>
        </xdr:cNvPr>
        <xdr:cNvCxnSpPr/>
      </xdr:nvCxnSpPr>
      <xdr:spPr>
        <a:xfrm flipH="1">
          <a:off x="43624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22</xdr:row>
      <xdr:rowOff>0</xdr:rowOff>
    </xdr:from>
    <xdr:to>
      <xdr:col>12</xdr:col>
      <xdr:colOff>0</xdr:colOff>
      <xdr:row>24</xdr:row>
      <xdr:rowOff>0</xdr:rowOff>
    </xdr:to>
    <xdr:cxnSp macro="">
      <xdr:nvCxnSpPr>
        <xdr:cNvPr id="27" name="DiagLine11">
          <a:extLst>
            <a:ext uri="{FF2B5EF4-FFF2-40B4-BE49-F238E27FC236}">
              <a16:creationId xmlns:a16="http://schemas.microsoft.com/office/drawing/2014/main" id="{FB3BC798-DB38-FE1B-79AD-14AADBA4C69D}"/>
            </a:ext>
          </a:extLst>
        </xdr:cNvPr>
        <xdr:cNvCxnSpPr/>
      </xdr:nvCxnSpPr>
      <xdr:spPr>
        <a:xfrm flipH="1">
          <a:off x="48006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22</xdr:row>
      <xdr:rowOff>0</xdr:rowOff>
    </xdr:from>
    <xdr:to>
      <xdr:col>13</xdr:col>
      <xdr:colOff>0</xdr:colOff>
      <xdr:row>24</xdr:row>
      <xdr:rowOff>0</xdr:rowOff>
    </xdr:to>
    <xdr:cxnSp macro="">
      <xdr:nvCxnSpPr>
        <xdr:cNvPr id="28" name="DiagLine12">
          <a:extLst>
            <a:ext uri="{FF2B5EF4-FFF2-40B4-BE49-F238E27FC236}">
              <a16:creationId xmlns:a16="http://schemas.microsoft.com/office/drawing/2014/main" id="{9E6C9506-CFF6-CB0A-D430-8B2248A7B245}"/>
            </a:ext>
          </a:extLst>
        </xdr:cNvPr>
        <xdr:cNvCxnSpPr/>
      </xdr:nvCxnSpPr>
      <xdr:spPr>
        <a:xfrm flipH="1">
          <a:off x="52387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22</xdr:row>
      <xdr:rowOff>0</xdr:rowOff>
    </xdr:from>
    <xdr:to>
      <xdr:col>14</xdr:col>
      <xdr:colOff>0</xdr:colOff>
      <xdr:row>24</xdr:row>
      <xdr:rowOff>0</xdr:rowOff>
    </xdr:to>
    <xdr:cxnSp macro="">
      <xdr:nvCxnSpPr>
        <xdr:cNvPr id="29" name="DiagLine13">
          <a:extLst>
            <a:ext uri="{FF2B5EF4-FFF2-40B4-BE49-F238E27FC236}">
              <a16:creationId xmlns:a16="http://schemas.microsoft.com/office/drawing/2014/main" id="{D4114593-9250-E287-CF0C-605FF68B8416}"/>
            </a:ext>
          </a:extLst>
        </xdr:cNvPr>
        <xdr:cNvCxnSpPr/>
      </xdr:nvCxnSpPr>
      <xdr:spPr>
        <a:xfrm flipH="1">
          <a:off x="56769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22</xdr:row>
      <xdr:rowOff>0</xdr:rowOff>
    </xdr:from>
    <xdr:to>
      <xdr:col>15</xdr:col>
      <xdr:colOff>0</xdr:colOff>
      <xdr:row>24</xdr:row>
      <xdr:rowOff>0</xdr:rowOff>
    </xdr:to>
    <xdr:cxnSp macro="">
      <xdr:nvCxnSpPr>
        <xdr:cNvPr id="30" name="DiagLine14">
          <a:extLst>
            <a:ext uri="{FF2B5EF4-FFF2-40B4-BE49-F238E27FC236}">
              <a16:creationId xmlns:a16="http://schemas.microsoft.com/office/drawing/2014/main" id="{9541246A-4CA9-4AE2-4014-FBC62522BCE1}"/>
            </a:ext>
          </a:extLst>
        </xdr:cNvPr>
        <xdr:cNvCxnSpPr/>
      </xdr:nvCxnSpPr>
      <xdr:spPr>
        <a:xfrm flipH="1">
          <a:off x="61150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22</xdr:row>
      <xdr:rowOff>0</xdr:rowOff>
    </xdr:from>
    <xdr:to>
      <xdr:col>16</xdr:col>
      <xdr:colOff>0</xdr:colOff>
      <xdr:row>24</xdr:row>
      <xdr:rowOff>0</xdr:rowOff>
    </xdr:to>
    <xdr:cxnSp macro="">
      <xdr:nvCxnSpPr>
        <xdr:cNvPr id="31" name="DiagLine15">
          <a:extLst>
            <a:ext uri="{FF2B5EF4-FFF2-40B4-BE49-F238E27FC236}">
              <a16:creationId xmlns:a16="http://schemas.microsoft.com/office/drawing/2014/main" id="{BFF356F7-F5A7-8640-A0DC-74BE9161D0E3}"/>
            </a:ext>
          </a:extLst>
        </xdr:cNvPr>
        <xdr:cNvCxnSpPr/>
      </xdr:nvCxnSpPr>
      <xdr:spPr>
        <a:xfrm flipH="1">
          <a:off x="65532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60960</xdr:colOff>
          <xdr:row>3</xdr:row>
          <xdr:rowOff>30480</xdr:rowOff>
        </xdr:from>
        <xdr:to>
          <xdr:col>18</xdr:col>
          <xdr:colOff>533400</xdr:colOff>
          <xdr:row>3</xdr:row>
          <xdr:rowOff>335280</xdr:rowOff>
        </xdr:to>
        <xdr:sp macro="" textlink="">
          <xdr:nvSpPr>
            <xdr:cNvPr id="17409" name="Btn_0" hidden="1">
              <a:extLst>
                <a:ext uri="{63B3BB69-23CF-44E3-9099-C40C66FF867C}">
                  <a14:compatExt spid="_x0000_s17409"/>
                </a:ext>
                <a:ext uri="{FF2B5EF4-FFF2-40B4-BE49-F238E27FC236}">
                  <a16:creationId xmlns:a16="http://schemas.microsoft.com/office/drawing/2014/main" id="{00000000-0008-0000-0C00-0000014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900" b="0" i="0" u="none" strike="noStrike" baseline="0">
                  <a:solidFill>
                    <a:srgbClr val="000000"/>
                  </a:solidFill>
                  <a:latin typeface="メイリオ"/>
                  <a:ea typeface="メイリオ"/>
                </a:rPr>
                <a:t>新しい週を追加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60960</xdr:colOff>
          <xdr:row>3</xdr:row>
          <xdr:rowOff>441960</xdr:rowOff>
        </xdr:from>
        <xdr:to>
          <xdr:col>18</xdr:col>
          <xdr:colOff>533400</xdr:colOff>
          <xdr:row>4</xdr:row>
          <xdr:rowOff>45720</xdr:rowOff>
        </xdr:to>
        <xdr:sp macro="" textlink="">
          <xdr:nvSpPr>
            <xdr:cNvPr id="17410" name="Btn_1" hidden="1">
              <a:extLst>
                <a:ext uri="{63B3BB69-23CF-44E3-9099-C40C66FF867C}">
                  <a14:compatExt spid="_x0000_s17410"/>
                </a:ext>
                <a:ext uri="{FF2B5EF4-FFF2-40B4-BE49-F238E27FC236}">
                  <a16:creationId xmlns:a16="http://schemas.microsoft.com/office/drawing/2014/main" id="{00000000-0008-0000-0C00-0000024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900" b="0" i="0" u="none" strike="noStrike" baseline="0">
                  <a:solidFill>
                    <a:srgbClr val="000000"/>
                  </a:solidFill>
                  <a:latin typeface="メイリオ"/>
                  <a:ea typeface="メイリオ"/>
                </a:rPr>
                <a:t>時間割を再展開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60960</xdr:colOff>
          <xdr:row>4</xdr:row>
          <xdr:rowOff>144780</xdr:rowOff>
        </xdr:from>
        <xdr:to>
          <xdr:col>18</xdr:col>
          <xdr:colOff>533400</xdr:colOff>
          <xdr:row>5</xdr:row>
          <xdr:rowOff>220980</xdr:rowOff>
        </xdr:to>
        <xdr:sp macro="" textlink="">
          <xdr:nvSpPr>
            <xdr:cNvPr id="17411" name="Btn_2" hidden="1">
              <a:extLst>
                <a:ext uri="{63B3BB69-23CF-44E3-9099-C40C66FF867C}">
                  <a14:compatExt spid="_x0000_s17411"/>
                </a:ext>
                <a:ext uri="{FF2B5EF4-FFF2-40B4-BE49-F238E27FC236}">
                  <a16:creationId xmlns:a16="http://schemas.microsoft.com/office/drawing/2014/main" id="{00000000-0008-0000-0C00-0000034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900" b="0" i="0" u="none" strike="noStrike" baseline="0">
                  <a:solidFill>
                    <a:srgbClr val="000000"/>
                  </a:solidFill>
                  <a:latin typeface="メイリオ"/>
                  <a:ea typeface="メイリオ"/>
                </a:rPr>
                <a:t>累計を更新</a:t>
              </a:r>
            </a:p>
          </xdr:txBody>
        </xdr:sp>
        <xdr:clientData fPrintsWithSheet="0"/>
      </xdr:twoCellAnchor>
    </mc:Choice>
    <mc:Fallback/>
  </mc:AlternateContent>
  <xdr:twoCellAnchor>
    <xdr:from>
      <xdr:col>1</xdr:col>
      <xdr:colOff>0</xdr:colOff>
      <xdr:row>22</xdr:row>
      <xdr:rowOff>0</xdr:rowOff>
    </xdr:from>
    <xdr:to>
      <xdr:col>2</xdr:col>
      <xdr:colOff>0</xdr:colOff>
      <xdr:row>24</xdr:row>
      <xdr:rowOff>0</xdr:rowOff>
    </xdr:to>
    <xdr:cxnSp macro="">
      <xdr:nvCxnSpPr>
        <xdr:cNvPr id="17" name="DiagLine1">
          <a:extLst>
            <a:ext uri="{FF2B5EF4-FFF2-40B4-BE49-F238E27FC236}">
              <a16:creationId xmlns:a16="http://schemas.microsoft.com/office/drawing/2014/main" id="{E562A1CD-A0B1-FF60-3638-C88E558CB226}"/>
            </a:ext>
          </a:extLst>
        </xdr:cNvPr>
        <xdr:cNvCxnSpPr/>
      </xdr:nvCxnSpPr>
      <xdr:spPr>
        <a:xfrm flipH="1">
          <a:off x="4191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22</xdr:row>
      <xdr:rowOff>0</xdr:rowOff>
    </xdr:from>
    <xdr:to>
      <xdr:col>3</xdr:col>
      <xdr:colOff>0</xdr:colOff>
      <xdr:row>24</xdr:row>
      <xdr:rowOff>0</xdr:rowOff>
    </xdr:to>
    <xdr:cxnSp macro="">
      <xdr:nvCxnSpPr>
        <xdr:cNvPr id="18" name="DiagLine2">
          <a:extLst>
            <a:ext uri="{FF2B5EF4-FFF2-40B4-BE49-F238E27FC236}">
              <a16:creationId xmlns:a16="http://schemas.microsoft.com/office/drawing/2014/main" id="{31A1AB50-D971-8201-79AC-7E56A29C688D}"/>
            </a:ext>
          </a:extLst>
        </xdr:cNvPr>
        <xdr:cNvCxnSpPr/>
      </xdr:nvCxnSpPr>
      <xdr:spPr>
        <a:xfrm flipH="1">
          <a:off x="8572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0</xdr:rowOff>
    </xdr:from>
    <xdr:to>
      <xdr:col>4</xdr:col>
      <xdr:colOff>0</xdr:colOff>
      <xdr:row>24</xdr:row>
      <xdr:rowOff>0</xdr:rowOff>
    </xdr:to>
    <xdr:cxnSp macro="">
      <xdr:nvCxnSpPr>
        <xdr:cNvPr id="19" name="DiagLine3">
          <a:extLst>
            <a:ext uri="{FF2B5EF4-FFF2-40B4-BE49-F238E27FC236}">
              <a16:creationId xmlns:a16="http://schemas.microsoft.com/office/drawing/2014/main" id="{7D7BA0D7-43FC-1D1F-14D9-A5727000004E}"/>
            </a:ext>
          </a:extLst>
        </xdr:cNvPr>
        <xdr:cNvCxnSpPr/>
      </xdr:nvCxnSpPr>
      <xdr:spPr>
        <a:xfrm flipH="1">
          <a:off x="12954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22</xdr:row>
      <xdr:rowOff>0</xdr:rowOff>
    </xdr:from>
    <xdr:to>
      <xdr:col>5</xdr:col>
      <xdr:colOff>0</xdr:colOff>
      <xdr:row>24</xdr:row>
      <xdr:rowOff>0</xdr:rowOff>
    </xdr:to>
    <xdr:cxnSp macro="">
      <xdr:nvCxnSpPr>
        <xdr:cNvPr id="20" name="DiagLine4">
          <a:extLst>
            <a:ext uri="{FF2B5EF4-FFF2-40B4-BE49-F238E27FC236}">
              <a16:creationId xmlns:a16="http://schemas.microsoft.com/office/drawing/2014/main" id="{3E266179-E497-DAD6-5BAE-2F3BF246B344}"/>
            </a:ext>
          </a:extLst>
        </xdr:cNvPr>
        <xdr:cNvCxnSpPr/>
      </xdr:nvCxnSpPr>
      <xdr:spPr>
        <a:xfrm flipH="1">
          <a:off x="17335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22</xdr:row>
      <xdr:rowOff>0</xdr:rowOff>
    </xdr:from>
    <xdr:to>
      <xdr:col>6</xdr:col>
      <xdr:colOff>0</xdr:colOff>
      <xdr:row>24</xdr:row>
      <xdr:rowOff>0</xdr:rowOff>
    </xdr:to>
    <xdr:cxnSp macro="">
      <xdr:nvCxnSpPr>
        <xdr:cNvPr id="21" name="DiagLine5">
          <a:extLst>
            <a:ext uri="{FF2B5EF4-FFF2-40B4-BE49-F238E27FC236}">
              <a16:creationId xmlns:a16="http://schemas.microsoft.com/office/drawing/2014/main" id="{B38F636D-5BC4-0E5F-870B-7B97054F8C16}"/>
            </a:ext>
          </a:extLst>
        </xdr:cNvPr>
        <xdr:cNvCxnSpPr/>
      </xdr:nvCxnSpPr>
      <xdr:spPr>
        <a:xfrm flipH="1">
          <a:off x="21717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22</xdr:row>
      <xdr:rowOff>0</xdr:rowOff>
    </xdr:from>
    <xdr:to>
      <xdr:col>7</xdr:col>
      <xdr:colOff>0</xdr:colOff>
      <xdr:row>24</xdr:row>
      <xdr:rowOff>0</xdr:rowOff>
    </xdr:to>
    <xdr:cxnSp macro="">
      <xdr:nvCxnSpPr>
        <xdr:cNvPr id="22" name="DiagLine6">
          <a:extLst>
            <a:ext uri="{FF2B5EF4-FFF2-40B4-BE49-F238E27FC236}">
              <a16:creationId xmlns:a16="http://schemas.microsoft.com/office/drawing/2014/main" id="{4311A93A-780B-C33E-2534-3EB1BA37292B}"/>
            </a:ext>
          </a:extLst>
        </xdr:cNvPr>
        <xdr:cNvCxnSpPr/>
      </xdr:nvCxnSpPr>
      <xdr:spPr>
        <a:xfrm flipH="1">
          <a:off x="26098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22</xdr:row>
      <xdr:rowOff>0</xdr:rowOff>
    </xdr:from>
    <xdr:to>
      <xdr:col>8</xdr:col>
      <xdr:colOff>0</xdr:colOff>
      <xdr:row>24</xdr:row>
      <xdr:rowOff>0</xdr:rowOff>
    </xdr:to>
    <xdr:cxnSp macro="">
      <xdr:nvCxnSpPr>
        <xdr:cNvPr id="23" name="DiagLine7">
          <a:extLst>
            <a:ext uri="{FF2B5EF4-FFF2-40B4-BE49-F238E27FC236}">
              <a16:creationId xmlns:a16="http://schemas.microsoft.com/office/drawing/2014/main" id="{E8FA552D-0614-DD09-124D-C3BB81BA244B}"/>
            </a:ext>
          </a:extLst>
        </xdr:cNvPr>
        <xdr:cNvCxnSpPr/>
      </xdr:nvCxnSpPr>
      <xdr:spPr>
        <a:xfrm flipH="1">
          <a:off x="30480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22</xdr:row>
      <xdr:rowOff>0</xdr:rowOff>
    </xdr:from>
    <xdr:to>
      <xdr:col>9</xdr:col>
      <xdr:colOff>0</xdr:colOff>
      <xdr:row>24</xdr:row>
      <xdr:rowOff>0</xdr:rowOff>
    </xdr:to>
    <xdr:cxnSp macro="">
      <xdr:nvCxnSpPr>
        <xdr:cNvPr id="24" name="DiagLine8">
          <a:extLst>
            <a:ext uri="{FF2B5EF4-FFF2-40B4-BE49-F238E27FC236}">
              <a16:creationId xmlns:a16="http://schemas.microsoft.com/office/drawing/2014/main" id="{435F2A9E-B9BE-B0AC-E6BB-D75B6A4F34E9}"/>
            </a:ext>
          </a:extLst>
        </xdr:cNvPr>
        <xdr:cNvCxnSpPr/>
      </xdr:nvCxnSpPr>
      <xdr:spPr>
        <a:xfrm flipH="1">
          <a:off x="34861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22</xdr:row>
      <xdr:rowOff>0</xdr:rowOff>
    </xdr:from>
    <xdr:to>
      <xdr:col>10</xdr:col>
      <xdr:colOff>0</xdr:colOff>
      <xdr:row>24</xdr:row>
      <xdr:rowOff>0</xdr:rowOff>
    </xdr:to>
    <xdr:cxnSp macro="">
      <xdr:nvCxnSpPr>
        <xdr:cNvPr id="25" name="DiagLine9">
          <a:extLst>
            <a:ext uri="{FF2B5EF4-FFF2-40B4-BE49-F238E27FC236}">
              <a16:creationId xmlns:a16="http://schemas.microsoft.com/office/drawing/2014/main" id="{8DA7D07F-EE74-9655-3DE0-7B92CBB08C55}"/>
            </a:ext>
          </a:extLst>
        </xdr:cNvPr>
        <xdr:cNvCxnSpPr/>
      </xdr:nvCxnSpPr>
      <xdr:spPr>
        <a:xfrm flipH="1">
          <a:off x="39243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22</xdr:row>
      <xdr:rowOff>0</xdr:rowOff>
    </xdr:from>
    <xdr:to>
      <xdr:col>11</xdr:col>
      <xdr:colOff>0</xdr:colOff>
      <xdr:row>24</xdr:row>
      <xdr:rowOff>0</xdr:rowOff>
    </xdr:to>
    <xdr:cxnSp macro="">
      <xdr:nvCxnSpPr>
        <xdr:cNvPr id="26" name="DiagLine10">
          <a:extLst>
            <a:ext uri="{FF2B5EF4-FFF2-40B4-BE49-F238E27FC236}">
              <a16:creationId xmlns:a16="http://schemas.microsoft.com/office/drawing/2014/main" id="{0C4FE388-EDFC-A6CC-F36F-85E6C65B10E7}"/>
            </a:ext>
          </a:extLst>
        </xdr:cNvPr>
        <xdr:cNvCxnSpPr/>
      </xdr:nvCxnSpPr>
      <xdr:spPr>
        <a:xfrm flipH="1">
          <a:off x="43624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22</xdr:row>
      <xdr:rowOff>0</xdr:rowOff>
    </xdr:from>
    <xdr:to>
      <xdr:col>12</xdr:col>
      <xdr:colOff>0</xdr:colOff>
      <xdr:row>24</xdr:row>
      <xdr:rowOff>0</xdr:rowOff>
    </xdr:to>
    <xdr:cxnSp macro="">
      <xdr:nvCxnSpPr>
        <xdr:cNvPr id="27" name="DiagLine11">
          <a:extLst>
            <a:ext uri="{FF2B5EF4-FFF2-40B4-BE49-F238E27FC236}">
              <a16:creationId xmlns:a16="http://schemas.microsoft.com/office/drawing/2014/main" id="{F7C8A8B8-992F-0F9C-3FA9-2F6F47537FA2}"/>
            </a:ext>
          </a:extLst>
        </xdr:cNvPr>
        <xdr:cNvCxnSpPr/>
      </xdr:nvCxnSpPr>
      <xdr:spPr>
        <a:xfrm flipH="1">
          <a:off x="48006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22</xdr:row>
      <xdr:rowOff>0</xdr:rowOff>
    </xdr:from>
    <xdr:to>
      <xdr:col>13</xdr:col>
      <xdr:colOff>0</xdr:colOff>
      <xdr:row>24</xdr:row>
      <xdr:rowOff>0</xdr:rowOff>
    </xdr:to>
    <xdr:cxnSp macro="">
      <xdr:nvCxnSpPr>
        <xdr:cNvPr id="28" name="DiagLine12">
          <a:extLst>
            <a:ext uri="{FF2B5EF4-FFF2-40B4-BE49-F238E27FC236}">
              <a16:creationId xmlns:a16="http://schemas.microsoft.com/office/drawing/2014/main" id="{7FF34865-A891-EDF5-8C69-444BD80073DC}"/>
            </a:ext>
          </a:extLst>
        </xdr:cNvPr>
        <xdr:cNvCxnSpPr/>
      </xdr:nvCxnSpPr>
      <xdr:spPr>
        <a:xfrm flipH="1">
          <a:off x="52387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22</xdr:row>
      <xdr:rowOff>0</xdr:rowOff>
    </xdr:from>
    <xdr:to>
      <xdr:col>14</xdr:col>
      <xdr:colOff>0</xdr:colOff>
      <xdr:row>24</xdr:row>
      <xdr:rowOff>0</xdr:rowOff>
    </xdr:to>
    <xdr:cxnSp macro="">
      <xdr:nvCxnSpPr>
        <xdr:cNvPr id="29" name="DiagLine13">
          <a:extLst>
            <a:ext uri="{FF2B5EF4-FFF2-40B4-BE49-F238E27FC236}">
              <a16:creationId xmlns:a16="http://schemas.microsoft.com/office/drawing/2014/main" id="{24B56DC2-5897-78E5-243B-7861E431A314}"/>
            </a:ext>
          </a:extLst>
        </xdr:cNvPr>
        <xdr:cNvCxnSpPr/>
      </xdr:nvCxnSpPr>
      <xdr:spPr>
        <a:xfrm flipH="1">
          <a:off x="56769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22</xdr:row>
      <xdr:rowOff>0</xdr:rowOff>
    </xdr:from>
    <xdr:to>
      <xdr:col>15</xdr:col>
      <xdr:colOff>0</xdr:colOff>
      <xdr:row>24</xdr:row>
      <xdr:rowOff>0</xdr:rowOff>
    </xdr:to>
    <xdr:cxnSp macro="">
      <xdr:nvCxnSpPr>
        <xdr:cNvPr id="30" name="DiagLine14">
          <a:extLst>
            <a:ext uri="{FF2B5EF4-FFF2-40B4-BE49-F238E27FC236}">
              <a16:creationId xmlns:a16="http://schemas.microsoft.com/office/drawing/2014/main" id="{F0DEBE78-FFAC-34EF-FE59-F09436E4B124}"/>
            </a:ext>
          </a:extLst>
        </xdr:cNvPr>
        <xdr:cNvCxnSpPr/>
      </xdr:nvCxnSpPr>
      <xdr:spPr>
        <a:xfrm flipH="1">
          <a:off x="61150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22</xdr:row>
      <xdr:rowOff>0</xdr:rowOff>
    </xdr:from>
    <xdr:to>
      <xdr:col>16</xdr:col>
      <xdr:colOff>0</xdr:colOff>
      <xdr:row>24</xdr:row>
      <xdr:rowOff>0</xdr:rowOff>
    </xdr:to>
    <xdr:cxnSp macro="">
      <xdr:nvCxnSpPr>
        <xdr:cNvPr id="31" name="DiagLine15">
          <a:extLst>
            <a:ext uri="{FF2B5EF4-FFF2-40B4-BE49-F238E27FC236}">
              <a16:creationId xmlns:a16="http://schemas.microsoft.com/office/drawing/2014/main" id="{9B0E3C30-CAC9-81B8-1C3C-DE052E26D480}"/>
            </a:ext>
          </a:extLst>
        </xdr:cNvPr>
        <xdr:cNvCxnSpPr/>
      </xdr:nvCxnSpPr>
      <xdr:spPr>
        <a:xfrm flipH="1">
          <a:off x="65532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60960</xdr:colOff>
          <xdr:row>3</xdr:row>
          <xdr:rowOff>30480</xdr:rowOff>
        </xdr:from>
        <xdr:to>
          <xdr:col>18</xdr:col>
          <xdr:colOff>533400</xdr:colOff>
          <xdr:row>3</xdr:row>
          <xdr:rowOff>335280</xdr:rowOff>
        </xdr:to>
        <xdr:sp macro="" textlink="">
          <xdr:nvSpPr>
            <xdr:cNvPr id="18433" name="Btn_0" hidden="1">
              <a:extLst>
                <a:ext uri="{63B3BB69-23CF-44E3-9099-C40C66FF867C}">
                  <a14:compatExt spid="_x0000_s18433"/>
                </a:ext>
                <a:ext uri="{FF2B5EF4-FFF2-40B4-BE49-F238E27FC236}">
                  <a16:creationId xmlns:a16="http://schemas.microsoft.com/office/drawing/2014/main" id="{00000000-0008-0000-0D00-0000014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900" b="0" i="0" u="none" strike="noStrike" baseline="0">
                  <a:solidFill>
                    <a:srgbClr val="000000"/>
                  </a:solidFill>
                  <a:latin typeface="メイリオ"/>
                  <a:ea typeface="メイリオ"/>
                </a:rPr>
                <a:t>新しい週を追加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60960</xdr:colOff>
          <xdr:row>3</xdr:row>
          <xdr:rowOff>441960</xdr:rowOff>
        </xdr:from>
        <xdr:to>
          <xdr:col>18</xdr:col>
          <xdr:colOff>533400</xdr:colOff>
          <xdr:row>4</xdr:row>
          <xdr:rowOff>45720</xdr:rowOff>
        </xdr:to>
        <xdr:sp macro="" textlink="">
          <xdr:nvSpPr>
            <xdr:cNvPr id="18434" name="Btn_1" hidden="1">
              <a:extLst>
                <a:ext uri="{63B3BB69-23CF-44E3-9099-C40C66FF867C}">
                  <a14:compatExt spid="_x0000_s18434"/>
                </a:ext>
                <a:ext uri="{FF2B5EF4-FFF2-40B4-BE49-F238E27FC236}">
                  <a16:creationId xmlns:a16="http://schemas.microsoft.com/office/drawing/2014/main" id="{00000000-0008-0000-0D00-0000024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900" b="0" i="0" u="none" strike="noStrike" baseline="0">
                  <a:solidFill>
                    <a:srgbClr val="000000"/>
                  </a:solidFill>
                  <a:latin typeface="メイリオ"/>
                  <a:ea typeface="メイリオ"/>
                </a:rPr>
                <a:t>時間割を再展開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60960</xdr:colOff>
          <xdr:row>4</xdr:row>
          <xdr:rowOff>144780</xdr:rowOff>
        </xdr:from>
        <xdr:to>
          <xdr:col>18</xdr:col>
          <xdr:colOff>533400</xdr:colOff>
          <xdr:row>5</xdr:row>
          <xdr:rowOff>220980</xdr:rowOff>
        </xdr:to>
        <xdr:sp macro="" textlink="">
          <xdr:nvSpPr>
            <xdr:cNvPr id="18435" name="Btn_2" hidden="1">
              <a:extLst>
                <a:ext uri="{63B3BB69-23CF-44E3-9099-C40C66FF867C}">
                  <a14:compatExt spid="_x0000_s18435"/>
                </a:ext>
                <a:ext uri="{FF2B5EF4-FFF2-40B4-BE49-F238E27FC236}">
                  <a16:creationId xmlns:a16="http://schemas.microsoft.com/office/drawing/2014/main" id="{00000000-0008-0000-0D00-0000034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900" b="0" i="0" u="none" strike="noStrike" baseline="0">
                  <a:solidFill>
                    <a:srgbClr val="000000"/>
                  </a:solidFill>
                  <a:latin typeface="メイリオ"/>
                  <a:ea typeface="メイリオ"/>
                </a:rPr>
                <a:t>累計を更新</a:t>
              </a:r>
            </a:p>
          </xdr:txBody>
        </xdr:sp>
        <xdr:clientData fPrintsWithSheet="0"/>
      </xdr:twoCellAnchor>
    </mc:Choice>
    <mc:Fallback/>
  </mc:AlternateContent>
  <xdr:twoCellAnchor>
    <xdr:from>
      <xdr:col>1</xdr:col>
      <xdr:colOff>0</xdr:colOff>
      <xdr:row>22</xdr:row>
      <xdr:rowOff>0</xdr:rowOff>
    </xdr:from>
    <xdr:to>
      <xdr:col>2</xdr:col>
      <xdr:colOff>0</xdr:colOff>
      <xdr:row>24</xdr:row>
      <xdr:rowOff>0</xdr:rowOff>
    </xdr:to>
    <xdr:cxnSp macro="">
      <xdr:nvCxnSpPr>
        <xdr:cNvPr id="17" name="DiagLine1">
          <a:extLst>
            <a:ext uri="{FF2B5EF4-FFF2-40B4-BE49-F238E27FC236}">
              <a16:creationId xmlns:a16="http://schemas.microsoft.com/office/drawing/2014/main" id="{A3EEF133-BEBE-4D76-8CE8-D12551B7D3EF}"/>
            </a:ext>
          </a:extLst>
        </xdr:cNvPr>
        <xdr:cNvCxnSpPr/>
      </xdr:nvCxnSpPr>
      <xdr:spPr>
        <a:xfrm flipH="1">
          <a:off x="4191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22</xdr:row>
      <xdr:rowOff>0</xdr:rowOff>
    </xdr:from>
    <xdr:to>
      <xdr:col>3</xdr:col>
      <xdr:colOff>0</xdr:colOff>
      <xdr:row>24</xdr:row>
      <xdr:rowOff>0</xdr:rowOff>
    </xdr:to>
    <xdr:cxnSp macro="">
      <xdr:nvCxnSpPr>
        <xdr:cNvPr id="18" name="DiagLine2">
          <a:extLst>
            <a:ext uri="{FF2B5EF4-FFF2-40B4-BE49-F238E27FC236}">
              <a16:creationId xmlns:a16="http://schemas.microsoft.com/office/drawing/2014/main" id="{98C4E859-2125-8F24-4922-8049A961D04E}"/>
            </a:ext>
          </a:extLst>
        </xdr:cNvPr>
        <xdr:cNvCxnSpPr/>
      </xdr:nvCxnSpPr>
      <xdr:spPr>
        <a:xfrm flipH="1">
          <a:off x="8572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0</xdr:rowOff>
    </xdr:from>
    <xdr:to>
      <xdr:col>4</xdr:col>
      <xdr:colOff>0</xdr:colOff>
      <xdr:row>24</xdr:row>
      <xdr:rowOff>0</xdr:rowOff>
    </xdr:to>
    <xdr:cxnSp macro="">
      <xdr:nvCxnSpPr>
        <xdr:cNvPr id="19" name="DiagLine3">
          <a:extLst>
            <a:ext uri="{FF2B5EF4-FFF2-40B4-BE49-F238E27FC236}">
              <a16:creationId xmlns:a16="http://schemas.microsoft.com/office/drawing/2014/main" id="{44514887-0034-804E-4BA4-0D900A38C1D0}"/>
            </a:ext>
          </a:extLst>
        </xdr:cNvPr>
        <xdr:cNvCxnSpPr/>
      </xdr:nvCxnSpPr>
      <xdr:spPr>
        <a:xfrm flipH="1">
          <a:off x="12954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22</xdr:row>
      <xdr:rowOff>0</xdr:rowOff>
    </xdr:from>
    <xdr:to>
      <xdr:col>5</xdr:col>
      <xdr:colOff>0</xdr:colOff>
      <xdr:row>24</xdr:row>
      <xdr:rowOff>0</xdr:rowOff>
    </xdr:to>
    <xdr:cxnSp macro="">
      <xdr:nvCxnSpPr>
        <xdr:cNvPr id="20" name="DiagLine4">
          <a:extLst>
            <a:ext uri="{FF2B5EF4-FFF2-40B4-BE49-F238E27FC236}">
              <a16:creationId xmlns:a16="http://schemas.microsoft.com/office/drawing/2014/main" id="{474A029C-02CE-39BF-9772-4280E2C0A8E1}"/>
            </a:ext>
          </a:extLst>
        </xdr:cNvPr>
        <xdr:cNvCxnSpPr/>
      </xdr:nvCxnSpPr>
      <xdr:spPr>
        <a:xfrm flipH="1">
          <a:off x="17335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22</xdr:row>
      <xdr:rowOff>0</xdr:rowOff>
    </xdr:from>
    <xdr:to>
      <xdr:col>6</xdr:col>
      <xdr:colOff>0</xdr:colOff>
      <xdr:row>24</xdr:row>
      <xdr:rowOff>0</xdr:rowOff>
    </xdr:to>
    <xdr:cxnSp macro="">
      <xdr:nvCxnSpPr>
        <xdr:cNvPr id="21" name="DiagLine5">
          <a:extLst>
            <a:ext uri="{FF2B5EF4-FFF2-40B4-BE49-F238E27FC236}">
              <a16:creationId xmlns:a16="http://schemas.microsoft.com/office/drawing/2014/main" id="{954F8B58-2B4F-31C7-FFD2-D1BBBDB45B09}"/>
            </a:ext>
          </a:extLst>
        </xdr:cNvPr>
        <xdr:cNvCxnSpPr/>
      </xdr:nvCxnSpPr>
      <xdr:spPr>
        <a:xfrm flipH="1">
          <a:off x="21717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22</xdr:row>
      <xdr:rowOff>0</xdr:rowOff>
    </xdr:from>
    <xdr:to>
      <xdr:col>7</xdr:col>
      <xdr:colOff>0</xdr:colOff>
      <xdr:row>24</xdr:row>
      <xdr:rowOff>0</xdr:rowOff>
    </xdr:to>
    <xdr:cxnSp macro="">
      <xdr:nvCxnSpPr>
        <xdr:cNvPr id="22" name="DiagLine6">
          <a:extLst>
            <a:ext uri="{FF2B5EF4-FFF2-40B4-BE49-F238E27FC236}">
              <a16:creationId xmlns:a16="http://schemas.microsoft.com/office/drawing/2014/main" id="{EDF3C010-DC51-B981-FF74-AE497F88BC45}"/>
            </a:ext>
          </a:extLst>
        </xdr:cNvPr>
        <xdr:cNvCxnSpPr/>
      </xdr:nvCxnSpPr>
      <xdr:spPr>
        <a:xfrm flipH="1">
          <a:off x="26098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22</xdr:row>
      <xdr:rowOff>0</xdr:rowOff>
    </xdr:from>
    <xdr:to>
      <xdr:col>8</xdr:col>
      <xdr:colOff>0</xdr:colOff>
      <xdr:row>24</xdr:row>
      <xdr:rowOff>0</xdr:rowOff>
    </xdr:to>
    <xdr:cxnSp macro="">
      <xdr:nvCxnSpPr>
        <xdr:cNvPr id="23" name="DiagLine7">
          <a:extLst>
            <a:ext uri="{FF2B5EF4-FFF2-40B4-BE49-F238E27FC236}">
              <a16:creationId xmlns:a16="http://schemas.microsoft.com/office/drawing/2014/main" id="{361D9448-8A85-50C7-A3DB-1F0326358177}"/>
            </a:ext>
          </a:extLst>
        </xdr:cNvPr>
        <xdr:cNvCxnSpPr/>
      </xdr:nvCxnSpPr>
      <xdr:spPr>
        <a:xfrm flipH="1">
          <a:off x="30480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22</xdr:row>
      <xdr:rowOff>0</xdr:rowOff>
    </xdr:from>
    <xdr:to>
      <xdr:col>9</xdr:col>
      <xdr:colOff>0</xdr:colOff>
      <xdr:row>24</xdr:row>
      <xdr:rowOff>0</xdr:rowOff>
    </xdr:to>
    <xdr:cxnSp macro="">
      <xdr:nvCxnSpPr>
        <xdr:cNvPr id="24" name="DiagLine8">
          <a:extLst>
            <a:ext uri="{FF2B5EF4-FFF2-40B4-BE49-F238E27FC236}">
              <a16:creationId xmlns:a16="http://schemas.microsoft.com/office/drawing/2014/main" id="{C07E3694-83E7-2EC8-AA69-9F7D85BA98D4}"/>
            </a:ext>
          </a:extLst>
        </xdr:cNvPr>
        <xdr:cNvCxnSpPr/>
      </xdr:nvCxnSpPr>
      <xdr:spPr>
        <a:xfrm flipH="1">
          <a:off x="34861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22</xdr:row>
      <xdr:rowOff>0</xdr:rowOff>
    </xdr:from>
    <xdr:to>
      <xdr:col>10</xdr:col>
      <xdr:colOff>0</xdr:colOff>
      <xdr:row>24</xdr:row>
      <xdr:rowOff>0</xdr:rowOff>
    </xdr:to>
    <xdr:cxnSp macro="">
      <xdr:nvCxnSpPr>
        <xdr:cNvPr id="25" name="DiagLine9">
          <a:extLst>
            <a:ext uri="{FF2B5EF4-FFF2-40B4-BE49-F238E27FC236}">
              <a16:creationId xmlns:a16="http://schemas.microsoft.com/office/drawing/2014/main" id="{7EACCE22-F4EE-237A-0B0F-6354A10E3BC0}"/>
            </a:ext>
          </a:extLst>
        </xdr:cNvPr>
        <xdr:cNvCxnSpPr/>
      </xdr:nvCxnSpPr>
      <xdr:spPr>
        <a:xfrm flipH="1">
          <a:off x="39243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22</xdr:row>
      <xdr:rowOff>0</xdr:rowOff>
    </xdr:from>
    <xdr:to>
      <xdr:col>11</xdr:col>
      <xdr:colOff>0</xdr:colOff>
      <xdr:row>24</xdr:row>
      <xdr:rowOff>0</xdr:rowOff>
    </xdr:to>
    <xdr:cxnSp macro="">
      <xdr:nvCxnSpPr>
        <xdr:cNvPr id="26" name="DiagLine10">
          <a:extLst>
            <a:ext uri="{FF2B5EF4-FFF2-40B4-BE49-F238E27FC236}">
              <a16:creationId xmlns:a16="http://schemas.microsoft.com/office/drawing/2014/main" id="{A453F06D-6D20-4411-5992-8C1F568A4C39}"/>
            </a:ext>
          </a:extLst>
        </xdr:cNvPr>
        <xdr:cNvCxnSpPr/>
      </xdr:nvCxnSpPr>
      <xdr:spPr>
        <a:xfrm flipH="1">
          <a:off x="43624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22</xdr:row>
      <xdr:rowOff>0</xdr:rowOff>
    </xdr:from>
    <xdr:to>
      <xdr:col>12</xdr:col>
      <xdr:colOff>0</xdr:colOff>
      <xdr:row>24</xdr:row>
      <xdr:rowOff>0</xdr:rowOff>
    </xdr:to>
    <xdr:cxnSp macro="">
      <xdr:nvCxnSpPr>
        <xdr:cNvPr id="27" name="DiagLine11">
          <a:extLst>
            <a:ext uri="{FF2B5EF4-FFF2-40B4-BE49-F238E27FC236}">
              <a16:creationId xmlns:a16="http://schemas.microsoft.com/office/drawing/2014/main" id="{BC34EE70-ED44-8926-4706-B48F52039542}"/>
            </a:ext>
          </a:extLst>
        </xdr:cNvPr>
        <xdr:cNvCxnSpPr/>
      </xdr:nvCxnSpPr>
      <xdr:spPr>
        <a:xfrm flipH="1">
          <a:off x="48006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22</xdr:row>
      <xdr:rowOff>0</xdr:rowOff>
    </xdr:from>
    <xdr:to>
      <xdr:col>13</xdr:col>
      <xdr:colOff>0</xdr:colOff>
      <xdr:row>24</xdr:row>
      <xdr:rowOff>0</xdr:rowOff>
    </xdr:to>
    <xdr:cxnSp macro="">
      <xdr:nvCxnSpPr>
        <xdr:cNvPr id="28" name="DiagLine12">
          <a:extLst>
            <a:ext uri="{FF2B5EF4-FFF2-40B4-BE49-F238E27FC236}">
              <a16:creationId xmlns:a16="http://schemas.microsoft.com/office/drawing/2014/main" id="{AECE4F00-E70A-7A17-92AD-7BC77795A04A}"/>
            </a:ext>
          </a:extLst>
        </xdr:cNvPr>
        <xdr:cNvCxnSpPr/>
      </xdr:nvCxnSpPr>
      <xdr:spPr>
        <a:xfrm flipH="1">
          <a:off x="52387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22</xdr:row>
      <xdr:rowOff>0</xdr:rowOff>
    </xdr:from>
    <xdr:to>
      <xdr:col>14</xdr:col>
      <xdr:colOff>0</xdr:colOff>
      <xdr:row>24</xdr:row>
      <xdr:rowOff>0</xdr:rowOff>
    </xdr:to>
    <xdr:cxnSp macro="">
      <xdr:nvCxnSpPr>
        <xdr:cNvPr id="29" name="DiagLine13">
          <a:extLst>
            <a:ext uri="{FF2B5EF4-FFF2-40B4-BE49-F238E27FC236}">
              <a16:creationId xmlns:a16="http://schemas.microsoft.com/office/drawing/2014/main" id="{2792F44B-7F60-4B5D-C8C4-12FC414DCA5A}"/>
            </a:ext>
          </a:extLst>
        </xdr:cNvPr>
        <xdr:cNvCxnSpPr/>
      </xdr:nvCxnSpPr>
      <xdr:spPr>
        <a:xfrm flipH="1">
          <a:off x="56769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22</xdr:row>
      <xdr:rowOff>0</xdr:rowOff>
    </xdr:from>
    <xdr:to>
      <xdr:col>15</xdr:col>
      <xdr:colOff>0</xdr:colOff>
      <xdr:row>24</xdr:row>
      <xdr:rowOff>0</xdr:rowOff>
    </xdr:to>
    <xdr:cxnSp macro="">
      <xdr:nvCxnSpPr>
        <xdr:cNvPr id="30" name="DiagLine14">
          <a:extLst>
            <a:ext uri="{FF2B5EF4-FFF2-40B4-BE49-F238E27FC236}">
              <a16:creationId xmlns:a16="http://schemas.microsoft.com/office/drawing/2014/main" id="{89BCDBEE-84BD-8F9D-BA9B-5BA5F25B3958}"/>
            </a:ext>
          </a:extLst>
        </xdr:cNvPr>
        <xdr:cNvCxnSpPr/>
      </xdr:nvCxnSpPr>
      <xdr:spPr>
        <a:xfrm flipH="1">
          <a:off x="61150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22</xdr:row>
      <xdr:rowOff>0</xdr:rowOff>
    </xdr:from>
    <xdr:to>
      <xdr:col>16</xdr:col>
      <xdr:colOff>0</xdr:colOff>
      <xdr:row>24</xdr:row>
      <xdr:rowOff>0</xdr:rowOff>
    </xdr:to>
    <xdr:cxnSp macro="">
      <xdr:nvCxnSpPr>
        <xdr:cNvPr id="31" name="DiagLine15">
          <a:extLst>
            <a:ext uri="{FF2B5EF4-FFF2-40B4-BE49-F238E27FC236}">
              <a16:creationId xmlns:a16="http://schemas.microsoft.com/office/drawing/2014/main" id="{26542928-0304-A33E-3B76-F93D7C2D7E72}"/>
            </a:ext>
          </a:extLst>
        </xdr:cNvPr>
        <xdr:cNvCxnSpPr/>
      </xdr:nvCxnSpPr>
      <xdr:spPr>
        <a:xfrm flipH="1">
          <a:off x="65532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60960</xdr:colOff>
          <xdr:row>3</xdr:row>
          <xdr:rowOff>30480</xdr:rowOff>
        </xdr:from>
        <xdr:to>
          <xdr:col>18</xdr:col>
          <xdr:colOff>533400</xdr:colOff>
          <xdr:row>3</xdr:row>
          <xdr:rowOff>335280</xdr:rowOff>
        </xdr:to>
        <xdr:sp macro="" textlink="">
          <xdr:nvSpPr>
            <xdr:cNvPr id="19457" name="Btn_0" hidden="1">
              <a:extLst>
                <a:ext uri="{63B3BB69-23CF-44E3-9099-C40C66FF867C}">
                  <a14:compatExt spid="_x0000_s19457"/>
                </a:ext>
                <a:ext uri="{FF2B5EF4-FFF2-40B4-BE49-F238E27FC236}">
                  <a16:creationId xmlns:a16="http://schemas.microsoft.com/office/drawing/2014/main" id="{00000000-0008-0000-0E00-0000014C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900" b="0" i="0" u="none" strike="noStrike" baseline="0">
                  <a:solidFill>
                    <a:srgbClr val="000000"/>
                  </a:solidFill>
                  <a:latin typeface="メイリオ"/>
                  <a:ea typeface="メイリオ"/>
                </a:rPr>
                <a:t>新しい週を追加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60960</xdr:colOff>
          <xdr:row>3</xdr:row>
          <xdr:rowOff>441960</xdr:rowOff>
        </xdr:from>
        <xdr:to>
          <xdr:col>18</xdr:col>
          <xdr:colOff>533400</xdr:colOff>
          <xdr:row>4</xdr:row>
          <xdr:rowOff>45720</xdr:rowOff>
        </xdr:to>
        <xdr:sp macro="" textlink="">
          <xdr:nvSpPr>
            <xdr:cNvPr id="19458" name="Btn_1" hidden="1">
              <a:extLst>
                <a:ext uri="{63B3BB69-23CF-44E3-9099-C40C66FF867C}">
                  <a14:compatExt spid="_x0000_s19458"/>
                </a:ext>
                <a:ext uri="{FF2B5EF4-FFF2-40B4-BE49-F238E27FC236}">
                  <a16:creationId xmlns:a16="http://schemas.microsoft.com/office/drawing/2014/main" id="{00000000-0008-0000-0E00-0000024C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900" b="0" i="0" u="none" strike="noStrike" baseline="0">
                  <a:solidFill>
                    <a:srgbClr val="000000"/>
                  </a:solidFill>
                  <a:latin typeface="メイリオ"/>
                  <a:ea typeface="メイリオ"/>
                </a:rPr>
                <a:t>時間割を再展開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60960</xdr:colOff>
          <xdr:row>4</xdr:row>
          <xdr:rowOff>144780</xdr:rowOff>
        </xdr:from>
        <xdr:to>
          <xdr:col>18</xdr:col>
          <xdr:colOff>533400</xdr:colOff>
          <xdr:row>5</xdr:row>
          <xdr:rowOff>220980</xdr:rowOff>
        </xdr:to>
        <xdr:sp macro="" textlink="">
          <xdr:nvSpPr>
            <xdr:cNvPr id="19459" name="Btn_2" hidden="1">
              <a:extLst>
                <a:ext uri="{63B3BB69-23CF-44E3-9099-C40C66FF867C}">
                  <a14:compatExt spid="_x0000_s19459"/>
                </a:ext>
                <a:ext uri="{FF2B5EF4-FFF2-40B4-BE49-F238E27FC236}">
                  <a16:creationId xmlns:a16="http://schemas.microsoft.com/office/drawing/2014/main" id="{00000000-0008-0000-0E00-0000034C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900" b="0" i="0" u="none" strike="noStrike" baseline="0">
                  <a:solidFill>
                    <a:srgbClr val="000000"/>
                  </a:solidFill>
                  <a:latin typeface="メイリオ"/>
                  <a:ea typeface="メイリオ"/>
                </a:rPr>
                <a:t>累計を更新</a:t>
              </a:r>
            </a:p>
          </xdr:txBody>
        </xdr:sp>
        <xdr:clientData fPrintsWithSheet="0"/>
      </xdr:twoCellAnchor>
    </mc:Choice>
    <mc:Fallback/>
  </mc:AlternateContent>
  <xdr:twoCellAnchor>
    <xdr:from>
      <xdr:col>1</xdr:col>
      <xdr:colOff>0</xdr:colOff>
      <xdr:row>22</xdr:row>
      <xdr:rowOff>0</xdr:rowOff>
    </xdr:from>
    <xdr:to>
      <xdr:col>2</xdr:col>
      <xdr:colOff>0</xdr:colOff>
      <xdr:row>24</xdr:row>
      <xdr:rowOff>0</xdr:rowOff>
    </xdr:to>
    <xdr:cxnSp macro="">
      <xdr:nvCxnSpPr>
        <xdr:cNvPr id="17" name="DiagLine1">
          <a:extLst>
            <a:ext uri="{FF2B5EF4-FFF2-40B4-BE49-F238E27FC236}">
              <a16:creationId xmlns:a16="http://schemas.microsoft.com/office/drawing/2014/main" id="{0FB49706-4713-DBE5-691C-FF95B5901541}"/>
            </a:ext>
          </a:extLst>
        </xdr:cNvPr>
        <xdr:cNvCxnSpPr/>
      </xdr:nvCxnSpPr>
      <xdr:spPr>
        <a:xfrm flipH="1">
          <a:off x="4191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22</xdr:row>
      <xdr:rowOff>0</xdr:rowOff>
    </xdr:from>
    <xdr:to>
      <xdr:col>3</xdr:col>
      <xdr:colOff>0</xdr:colOff>
      <xdr:row>24</xdr:row>
      <xdr:rowOff>0</xdr:rowOff>
    </xdr:to>
    <xdr:cxnSp macro="">
      <xdr:nvCxnSpPr>
        <xdr:cNvPr id="18" name="DiagLine2">
          <a:extLst>
            <a:ext uri="{FF2B5EF4-FFF2-40B4-BE49-F238E27FC236}">
              <a16:creationId xmlns:a16="http://schemas.microsoft.com/office/drawing/2014/main" id="{B529ED09-BB01-4CBF-EF5A-8B929A951C53}"/>
            </a:ext>
          </a:extLst>
        </xdr:cNvPr>
        <xdr:cNvCxnSpPr/>
      </xdr:nvCxnSpPr>
      <xdr:spPr>
        <a:xfrm flipH="1">
          <a:off x="8572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0</xdr:rowOff>
    </xdr:from>
    <xdr:to>
      <xdr:col>4</xdr:col>
      <xdr:colOff>0</xdr:colOff>
      <xdr:row>24</xdr:row>
      <xdr:rowOff>0</xdr:rowOff>
    </xdr:to>
    <xdr:cxnSp macro="">
      <xdr:nvCxnSpPr>
        <xdr:cNvPr id="19" name="DiagLine3">
          <a:extLst>
            <a:ext uri="{FF2B5EF4-FFF2-40B4-BE49-F238E27FC236}">
              <a16:creationId xmlns:a16="http://schemas.microsoft.com/office/drawing/2014/main" id="{D724FA9F-C5FE-B8FA-4F62-5AB4806B8244}"/>
            </a:ext>
          </a:extLst>
        </xdr:cNvPr>
        <xdr:cNvCxnSpPr/>
      </xdr:nvCxnSpPr>
      <xdr:spPr>
        <a:xfrm flipH="1">
          <a:off x="12954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22</xdr:row>
      <xdr:rowOff>0</xdr:rowOff>
    </xdr:from>
    <xdr:to>
      <xdr:col>5</xdr:col>
      <xdr:colOff>0</xdr:colOff>
      <xdr:row>24</xdr:row>
      <xdr:rowOff>0</xdr:rowOff>
    </xdr:to>
    <xdr:cxnSp macro="">
      <xdr:nvCxnSpPr>
        <xdr:cNvPr id="20" name="DiagLine4">
          <a:extLst>
            <a:ext uri="{FF2B5EF4-FFF2-40B4-BE49-F238E27FC236}">
              <a16:creationId xmlns:a16="http://schemas.microsoft.com/office/drawing/2014/main" id="{1F790E59-2125-474C-5253-815ECDA1F7CD}"/>
            </a:ext>
          </a:extLst>
        </xdr:cNvPr>
        <xdr:cNvCxnSpPr/>
      </xdr:nvCxnSpPr>
      <xdr:spPr>
        <a:xfrm flipH="1">
          <a:off x="17335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22</xdr:row>
      <xdr:rowOff>0</xdr:rowOff>
    </xdr:from>
    <xdr:to>
      <xdr:col>6</xdr:col>
      <xdr:colOff>0</xdr:colOff>
      <xdr:row>24</xdr:row>
      <xdr:rowOff>0</xdr:rowOff>
    </xdr:to>
    <xdr:cxnSp macro="">
      <xdr:nvCxnSpPr>
        <xdr:cNvPr id="21" name="DiagLine5">
          <a:extLst>
            <a:ext uri="{FF2B5EF4-FFF2-40B4-BE49-F238E27FC236}">
              <a16:creationId xmlns:a16="http://schemas.microsoft.com/office/drawing/2014/main" id="{062A3539-8D1E-4A0B-DFD1-0D5456E4BEEA}"/>
            </a:ext>
          </a:extLst>
        </xdr:cNvPr>
        <xdr:cNvCxnSpPr/>
      </xdr:nvCxnSpPr>
      <xdr:spPr>
        <a:xfrm flipH="1">
          <a:off x="21717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22</xdr:row>
      <xdr:rowOff>0</xdr:rowOff>
    </xdr:from>
    <xdr:to>
      <xdr:col>7</xdr:col>
      <xdr:colOff>0</xdr:colOff>
      <xdr:row>24</xdr:row>
      <xdr:rowOff>0</xdr:rowOff>
    </xdr:to>
    <xdr:cxnSp macro="">
      <xdr:nvCxnSpPr>
        <xdr:cNvPr id="22" name="DiagLine6">
          <a:extLst>
            <a:ext uri="{FF2B5EF4-FFF2-40B4-BE49-F238E27FC236}">
              <a16:creationId xmlns:a16="http://schemas.microsoft.com/office/drawing/2014/main" id="{791A100E-2659-79B2-F05E-A124F008A283}"/>
            </a:ext>
          </a:extLst>
        </xdr:cNvPr>
        <xdr:cNvCxnSpPr/>
      </xdr:nvCxnSpPr>
      <xdr:spPr>
        <a:xfrm flipH="1">
          <a:off x="26098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22</xdr:row>
      <xdr:rowOff>0</xdr:rowOff>
    </xdr:from>
    <xdr:to>
      <xdr:col>8</xdr:col>
      <xdr:colOff>0</xdr:colOff>
      <xdr:row>24</xdr:row>
      <xdr:rowOff>0</xdr:rowOff>
    </xdr:to>
    <xdr:cxnSp macro="">
      <xdr:nvCxnSpPr>
        <xdr:cNvPr id="23" name="DiagLine7">
          <a:extLst>
            <a:ext uri="{FF2B5EF4-FFF2-40B4-BE49-F238E27FC236}">
              <a16:creationId xmlns:a16="http://schemas.microsoft.com/office/drawing/2014/main" id="{DD4BA953-BD83-A9E8-3E84-C3121C7FA850}"/>
            </a:ext>
          </a:extLst>
        </xdr:cNvPr>
        <xdr:cNvCxnSpPr/>
      </xdr:nvCxnSpPr>
      <xdr:spPr>
        <a:xfrm flipH="1">
          <a:off x="30480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22</xdr:row>
      <xdr:rowOff>0</xdr:rowOff>
    </xdr:from>
    <xdr:to>
      <xdr:col>9</xdr:col>
      <xdr:colOff>0</xdr:colOff>
      <xdr:row>24</xdr:row>
      <xdr:rowOff>0</xdr:rowOff>
    </xdr:to>
    <xdr:cxnSp macro="">
      <xdr:nvCxnSpPr>
        <xdr:cNvPr id="24" name="DiagLine8">
          <a:extLst>
            <a:ext uri="{FF2B5EF4-FFF2-40B4-BE49-F238E27FC236}">
              <a16:creationId xmlns:a16="http://schemas.microsoft.com/office/drawing/2014/main" id="{D36874C9-5EBD-AD53-A182-0AA3CCD5A75E}"/>
            </a:ext>
          </a:extLst>
        </xdr:cNvPr>
        <xdr:cNvCxnSpPr/>
      </xdr:nvCxnSpPr>
      <xdr:spPr>
        <a:xfrm flipH="1">
          <a:off x="34861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22</xdr:row>
      <xdr:rowOff>0</xdr:rowOff>
    </xdr:from>
    <xdr:to>
      <xdr:col>10</xdr:col>
      <xdr:colOff>0</xdr:colOff>
      <xdr:row>24</xdr:row>
      <xdr:rowOff>0</xdr:rowOff>
    </xdr:to>
    <xdr:cxnSp macro="">
      <xdr:nvCxnSpPr>
        <xdr:cNvPr id="25" name="DiagLine9">
          <a:extLst>
            <a:ext uri="{FF2B5EF4-FFF2-40B4-BE49-F238E27FC236}">
              <a16:creationId xmlns:a16="http://schemas.microsoft.com/office/drawing/2014/main" id="{A1D3E86D-B3BE-23AC-2F79-445DCE7467CD}"/>
            </a:ext>
          </a:extLst>
        </xdr:cNvPr>
        <xdr:cNvCxnSpPr/>
      </xdr:nvCxnSpPr>
      <xdr:spPr>
        <a:xfrm flipH="1">
          <a:off x="39243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22</xdr:row>
      <xdr:rowOff>0</xdr:rowOff>
    </xdr:from>
    <xdr:to>
      <xdr:col>11</xdr:col>
      <xdr:colOff>0</xdr:colOff>
      <xdr:row>24</xdr:row>
      <xdr:rowOff>0</xdr:rowOff>
    </xdr:to>
    <xdr:cxnSp macro="">
      <xdr:nvCxnSpPr>
        <xdr:cNvPr id="26" name="DiagLine10">
          <a:extLst>
            <a:ext uri="{FF2B5EF4-FFF2-40B4-BE49-F238E27FC236}">
              <a16:creationId xmlns:a16="http://schemas.microsoft.com/office/drawing/2014/main" id="{C52E8EEA-9042-FDA8-252A-FEF30A6F33D8}"/>
            </a:ext>
          </a:extLst>
        </xdr:cNvPr>
        <xdr:cNvCxnSpPr/>
      </xdr:nvCxnSpPr>
      <xdr:spPr>
        <a:xfrm flipH="1">
          <a:off x="43624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22</xdr:row>
      <xdr:rowOff>0</xdr:rowOff>
    </xdr:from>
    <xdr:to>
      <xdr:col>12</xdr:col>
      <xdr:colOff>0</xdr:colOff>
      <xdr:row>24</xdr:row>
      <xdr:rowOff>0</xdr:rowOff>
    </xdr:to>
    <xdr:cxnSp macro="">
      <xdr:nvCxnSpPr>
        <xdr:cNvPr id="27" name="DiagLine11">
          <a:extLst>
            <a:ext uri="{FF2B5EF4-FFF2-40B4-BE49-F238E27FC236}">
              <a16:creationId xmlns:a16="http://schemas.microsoft.com/office/drawing/2014/main" id="{C9304BE5-5C46-63A4-1FB3-C829783D0EE6}"/>
            </a:ext>
          </a:extLst>
        </xdr:cNvPr>
        <xdr:cNvCxnSpPr/>
      </xdr:nvCxnSpPr>
      <xdr:spPr>
        <a:xfrm flipH="1">
          <a:off x="48006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22</xdr:row>
      <xdr:rowOff>0</xdr:rowOff>
    </xdr:from>
    <xdr:to>
      <xdr:col>13</xdr:col>
      <xdr:colOff>0</xdr:colOff>
      <xdr:row>24</xdr:row>
      <xdr:rowOff>0</xdr:rowOff>
    </xdr:to>
    <xdr:cxnSp macro="">
      <xdr:nvCxnSpPr>
        <xdr:cNvPr id="28" name="DiagLine12">
          <a:extLst>
            <a:ext uri="{FF2B5EF4-FFF2-40B4-BE49-F238E27FC236}">
              <a16:creationId xmlns:a16="http://schemas.microsoft.com/office/drawing/2014/main" id="{A8241278-211F-F736-F907-1DE121F27951}"/>
            </a:ext>
          </a:extLst>
        </xdr:cNvPr>
        <xdr:cNvCxnSpPr/>
      </xdr:nvCxnSpPr>
      <xdr:spPr>
        <a:xfrm flipH="1">
          <a:off x="52387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22</xdr:row>
      <xdr:rowOff>0</xdr:rowOff>
    </xdr:from>
    <xdr:to>
      <xdr:col>14</xdr:col>
      <xdr:colOff>0</xdr:colOff>
      <xdr:row>24</xdr:row>
      <xdr:rowOff>0</xdr:rowOff>
    </xdr:to>
    <xdr:cxnSp macro="">
      <xdr:nvCxnSpPr>
        <xdr:cNvPr id="29" name="DiagLine13">
          <a:extLst>
            <a:ext uri="{FF2B5EF4-FFF2-40B4-BE49-F238E27FC236}">
              <a16:creationId xmlns:a16="http://schemas.microsoft.com/office/drawing/2014/main" id="{632022E1-EA47-404B-B094-06EE110EA1A6}"/>
            </a:ext>
          </a:extLst>
        </xdr:cNvPr>
        <xdr:cNvCxnSpPr/>
      </xdr:nvCxnSpPr>
      <xdr:spPr>
        <a:xfrm flipH="1">
          <a:off x="56769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22</xdr:row>
      <xdr:rowOff>0</xdr:rowOff>
    </xdr:from>
    <xdr:to>
      <xdr:col>15</xdr:col>
      <xdr:colOff>0</xdr:colOff>
      <xdr:row>24</xdr:row>
      <xdr:rowOff>0</xdr:rowOff>
    </xdr:to>
    <xdr:cxnSp macro="">
      <xdr:nvCxnSpPr>
        <xdr:cNvPr id="30" name="DiagLine14">
          <a:extLst>
            <a:ext uri="{FF2B5EF4-FFF2-40B4-BE49-F238E27FC236}">
              <a16:creationId xmlns:a16="http://schemas.microsoft.com/office/drawing/2014/main" id="{A25DE9CC-6354-1C60-8CAE-83627C9C0A4B}"/>
            </a:ext>
          </a:extLst>
        </xdr:cNvPr>
        <xdr:cNvCxnSpPr/>
      </xdr:nvCxnSpPr>
      <xdr:spPr>
        <a:xfrm flipH="1">
          <a:off x="61150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22</xdr:row>
      <xdr:rowOff>0</xdr:rowOff>
    </xdr:from>
    <xdr:to>
      <xdr:col>16</xdr:col>
      <xdr:colOff>0</xdr:colOff>
      <xdr:row>24</xdr:row>
      <xdr:rowOff>0</xdr:rowOff>
    </xdr:to>
    <xdr:cxnSp macro="">
      <xdr:nvCxnSpPr>
        <xdr:cNvPr id="31" name="DiagLine15">
          <a:extLst>
            <a:ext uri="{FF2B5EF4-FFF2-40B4-BE49-F238E27FC236}">
              <a16:creationId xmlns:a16="http://schemas.microsoft.com/office/drawing/2014/main" id="{0E4FE064-8D6D-93A5-9556-346D7F14477D}"/>
            </a:ext>
          </a:extLst>
        </xdr:cNvPr>
        <xdr:cNvCxnSpPr/>
      </xdr:nvCxnSpPr>
      <xdr:spPr>
        <a:xfrm flipH="1">
          <a:off x="65532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60960</xdr:colOff>
          <xdr:row>3</xdr:row>
          <xdr:rowOff>30480</xdr:rowOff>
        </xdr:from>
        <xdr:to>
          <xdr:col>18</xdr:col>
          <xdr:colOff>533400</xdr:colOff>
          <xdr:row>3</xdr:row>
          <xdr:rowOff>335280</xdr:rowOff>
        </xdr:to>
        <xdr:sp macro="" textlink="">
          <xdr:nvSpPr>
            <xdr:cNvPr id="32769" name="Btn_0" hidden="1">
              <a:extLst>
                <a:ext uri="{63B3BB69-23CF-44E3-9099-C40C66FF867C}">
                  <a14:compatExt spid="_x0000_s32769"/>
                </a:ext>
                <a:ext uri="{FF2B5EF4-FFF2-40B4-BE49-F238E27FC236}">
                  <a16:creationId xmlns:a16="http://schemas.microsoft.com/office/drawing/2014/main" id="{00000000-0008-0000-0F00-0000018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900" b="0" i="0" u="none" strike="noStrike" baseline="0">
                  <a:solidFill>
                    <a:srgbClr val="000000"/>
                  </a:solidFill>
                  <a:latin typeface="メイリオ"/>
                  <a:ea typeface="メイリオ"/>
                </a:rPr>
                <a:t>新しい週を追加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60960</xdr:colOff>
          <xdr:row>3</xdr:row>
          <xdr:rowOff>441960</xdr:rowOff>
        </xdr:from>
        <xdr:to>
          <xdr:col>18</xdr:col>
          <xdr:colOff>533400</xdr:colOff>
          <xdr:row>4</xdr:row>
          <xdr:rowOff>45720</xdr:rowOff>
        </xdr:to>
        <xdr:sp macro="" textlink="">
          <xdr:nvSpPr>
            <xdr:cNvPr id="32770" name="Btn_1" hidden="1">
              <a:extLst>
                <a:ext uri="{63B3BB69-23CF-44E3-9099-C40C66FF867C}">
                  <a14:compatExt spid="_x0000_s32770"/>
                </a:ext>
                <a:ext uri="{FF2B5EF4-FFF2-40B4-BE49-F238E27FC236}">
                  <a16:creationId xmlns:a16="http://schemas.microsoft.com/office/drawing/2014/main" id="{00000000-0008-0000-0F00-0000028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900" b="0" i="0" u="none" strike="noStrike" baseline="0">
                  <a:solidFill>
                    <a:srgbClr val="000000"/>
                  </a:solidFill>
                  <a:latin typeface="メイリオ"/>
                  <a:ea typeface="メイリオ"/>
                </a:rPr>
                <a:t>時間割を再展開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60960</xdr:colOff>
          <xdr:row>4</xdr:row>
          <xdr:rowOff>144780</xdr:rowOff>
        </xdr:from>
        <xdr:to>
          <xdr:col>18</xdr:col>
          <xdr:colOff>533400</xdr:colOff>
          <xdr:row>5</xdr:row>
          <xdr:rowOff>220980</xdr:rowOff>
        </xdr:to>
        <xdr:sp macro="" textlink="">
          <xdr:nvSpPr>
            <xdr:cNvPr id="32771" name="Btn_2" hidden="1">
              <a:extLst>
                <a:ext uri="{63B3BB69-23CF-44E3-9099-C40C66FF867C}">
                  <a14:compatExt spid="_x0000_s32771"/>
                </a:ext>
                <a:ext uri="{FF2B5EF4-FFF2-40B4-BE49-F238E27FC236}">
                  <a16:creationId xmlns:a16="http://schemas.microsoft.com/office/drawing/2014/main" id="{00000000-0008-0000-0F00-0000038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900" b="0" i="0" u="none" strike="noStrike" baseline="0">
                  <a:solidFill>
                    <a:srgbClr val="000000"/>
                  </a:solidFill>
                  <a:latin typeface="メイリオ"/>
                  <a:ea typeface="メイリオ"/>
                </a:rPr>
                <a:t>累計を更新</a:t>
              </a:r>
            </a:p>
          </xdr:txBody>
        </xdr:sp>
        <xdr:clientData fPrintsWithSheet="0"/>
      </xdr:twoCellAnchor>
    </mc:Choice>
    <mc:Fallback/>
  </mc:AlternateContent>
  <xdr:twoCellAnchor>
    <xdr:from>
      <xdr:col>1</xdr:col>
      <xdr:colOff>0</xdr:colOff>
      <xdr:row>22</xdr:row>
      <xdr:rowOff>0</xdr:rowOff>
    </xdr:from>
    <xdr:to>
      <xdr:col>2</xdr:col>
      <xdr:colOff>0</xdr:colOff>
      <xdr:row>24</xdr:row>
      <xdr:rowOff>0</xdr:rowOff>
    </xdr:to>
    <xdr:cxnSp macro="">
      <xdr:nvCxnSpPr>
        <xdr:cNvPr id="17" name="DiagLine1">
          <a:extLst>
            <a:ext uri="{FF2B5EF4-FFF2-40B4-BE49-F238E27FC236}">
              <a16:creationId xmlns:a16="http://schemas.microsoft.com/office/drawing/2014/main" id="{80B6C133-D5E0-94A1-6B56-CAE99D8350B0}"/>
            </a:ext>
          </a:extLst>
        </xdr:cNvPr>
        <xdr:cNvCxnSpPr/>
      </xdr:nvCxnSpPr>
      <xdr:spPr>
        <a:xfrm flipH="1">
          <a:off x="4191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22</xdr:row>
      <xdr:rowOff>0</xdr:rowOff>
    </xdr:from>
    <xdr:to>
      <xdr:col>3</xdr:col>
      <xdr:colOff>0</xdr:colOff>
      <xdr:row>24</xdr:row>
      <xdr:rowOff>0</xdr:rowOff>
    </xdr:to>
    <xdr:cxnSp macro="">
      <xdr:nvCxnSpPr>
        <xdr:cNvPr id="18" name="DiagLine2">
          <a:extLst>
            <a:ext uri="{FF2B5EF4-FFF2-40B4-BE49-F238E27FC236}">
              <a16:creationId xmlns:a16="http://schemas.microsoft.com/office/drawing/2014/main" id="{8BDA9F3F-66F2-3C64-D47E-5557C3FACC4B}"/>
            </a:ext>
          </a:extLst>
        </xdr:cNvPr>
        <xdr:cNvCxnSpPr/>
      </xdr:nvCxnSpPr>
      <xdr:spPr>
        <a:xfrm flipH="1">
          <a:off x="8572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0</xdr:rowOff>
    </xdr:from>
    <xdr:to>
      <xdr:col>4</xdr:col>
      <xdr:colOff>0</xdr:colOff>
      <xdr:row>24</xdr:row>
      <xdr:rowOff>0</xdr:rowOff>
    </xdr:to>
    <xdr:cxnSp macro="">
      <xdr:nvCxnSpPr>
        <xdr:cNvPr id="19" name="DiagLine3">
          <a:extLst>
            <a:ext uri="{FF2B5EF4-FFF2-40B4-BE49-F238E27FC236}">
              <a16:creationId xmlns:a16="http://schemas.microsoft.com/office/drawing/2014/main" id="{9B3E8A6F-4FDF-C366-BB9A-2A5F1A7CCF5A}"/>
            </a:ext>
          </a:extLst>
        </xdr:cNvPr>
        <xdr:cNvCxnSpPr/>
      </xdr:nvCxnSpPr>
      <xdr:spPr>
        <a:xfrm flipH="1">
          <a:off x="12954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22</xdr:row>
      <xdr:rowOff>0</xdr:rowOff>
    </xdr:from>
    <xdr:to>
      <xdr:col>5</xdr:col>
      <xdr:colOff>0</xdr:colOff>
      <xdr:row>24</xdr:row>
      <xdr:rowOff>0</xdr:rowOff>
    </xdr:to>
    <xdr:cxnSp macro="">
      <xdr:nvCxnSpPr>
        <xdr:cNvPr id="20" name="DiagLine4">
          <a:extLst>
            <a:ext uri="{FF2B5EF4-FFF2-40B4-BE49-F238E27FC236}">
              <a16:creationId xmlns:a16="http://schemas.microsoft.com/office/drawing/2014/main" id="{DC6BA17E-12F3-AC21-38AB-2E2955C9A6F7}"/>
            </a:ext>
          </a:extLst>
        </xdr:cNvPr>
        <xdr:cNvCxnSpPr/>
      </xdr:nvCxnSpPr>
      <xdr:spPr>
        <a:xfrm flipH="1">
          <a:off x="17335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22</xdr:row>
      <xdr:rowOff>0</xdr:rowOff>
    </xdr:from>
    <xdr:to>
      <xdr:col>6</xdr:col>
      <xdr:colOff>0</xdr:colOff>
      <xdr:row>24</xdr:row>
      <xdr:rowOff>0</xdr:rowOff>
    </xdr:to>
    <xdr:cxnSp macro="">
      <xdr:nvCxnSpPr>
        <xdr:cNvPr id="21" name="DiagLine5">
          <a:extLst>
            <a:ext uri="{FF2B5EF4-FFF2-40B4-BE49-F238E27FC236}">
              <a16:creationId xmlns:a16="http://schemas.microsoft.com/office/drawing/2014/main" id="{BF1DA3E4-6B3C-4302-FAFF-657E85039A52}"/>
            </a:ext>
          </a:extLst>
        </xdr:cNvPr>
        <xdr:cNvCxnSpPr/>
      </xdr:nvCxnSpPr>
      <xdr:spPr>
        <a:xfrm flipH="1">
          <a:off x="21717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22</xdr:row>
      <xdr:rowOff>0</xdr:rowOff>
    </xdr:from>
    <xdr:to>
      <xdr:col>7</xdr:col>
      <xdr:colOff>0</xdr:colOff>
      <xdr:row>24</xdr:row>
      <xdr:rowOff>0</xdr:rowOff>
    </xdr:to>
    <xdr:cxnSp macro="">
      <xdr:nvCxnSpPr>
        <xdr:cNvPr id="22" name="DiagLine6">
          <a:extLst>
            <a:ext uri="{FF2B5EF4-FFF2-40B4-BE49-F238E27FC236}">
              <a16:creationId xmlns:a16="http://schemas.microsoft.com/office/drawing/2014/main" id="{E1F4BB89-1052-DAA5-CFDA-08964B002C46}"/>
            </a:ext>
          </a:extLst>
        </xdr:cNvPr>
        <xdr:cNvCxnSpPr/>
      </xdr:nvCxnSpPr>
      <xdr:spPr>
        <a:xfrm flipH="1">
          <a:off x="26098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22</xdr:row>
      <xdr:rowOff>0</xdr:rowOff>
    </xdr:from>
    <xdr:to>
      <xdr:col>8</xdr:col>
      <xdr:colOff>0</xdr:colOff>
      <xdr:row>24</xdr:row>
      <xdr:rowOff>0</xdr:rowOff>
    </xdr:to>
    <xdr:cxnSp macro="">
      <xdr:nvCxnSpPr>
        <xdr:cNvPr id="23" name="DiagLine7">
          <a:extLst>
            <a:ext uri="{FF2B5EF4-FFF2-40B4-BE49-F238E27FC236}">
              <a16:creationId xmlns:a16="http://schemas.microsoft.com/office/drawing/2014/main" id="{88B611BC-8F5C-9FF7-EBF7-EDE72C79FBF4}"/>
            </a:ext>
          </a:extLst>
        </xdr:cNvPr>
        <xdr:cNvCxnSpPr/>
      </xdr:nvCxnSpPr>
      <xdr:spPr>
        <a:xfrm flipH="1">
          <a:off x="30480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22</xdr:row>
      <xdr:rowOff>0</xdr:rowOff>
    </xdr:from>
    <xdr:to>
      <xdr:col>9</xdr:col>
      <xdr:colOff>0</xdr:colOff>
      <xdr:row>24</xdr:row>
      <xdr:rowOff>0</xdr:rowOff>
    </xdr:to>
    <xdr:cxnSp macro="">
      <xdr:nvCxnSpPr>
        <xdr:cNvPr id="24" name="DiagLine8">
          <a:extLst>
            <a:ext uri="{FF2B5EF4-FFF2-40B4-BE49-F238E27FC236}">
              <a16:creationId xmlns:a16="http://schemas.microsoft.com/office/drawing/2014/main" id="{C0D82E88-F04B-30E2-12DB-FAB87E432AF5}"/>
            </a:ext>
          </a:extLst>
        </xdr:cNvPr>
        <xdr:cNvCxnSpPr/>
      </xdr:nvCxnSpPr>
      <xdr:spPr>
        <a:xfrm flipH="1">
          <a:off x="34861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22</xdr:row>
      <xdr:rowOff>0</xdr:rowOff>
    </xdr:from>
    <xdr:to>
      <xdr:col>10</xdr:col>
      <xdr:colOff>0</xdr:colOff>
      <xdr:row>24</xdr:row>
      <xdr:rowOff>0</xdr:rowOff>
    </xdr:to>
    <xdr:cxnSp macro="">
      <xdr:nvCxnSpPr>
        <xdr:cNvPr id="25" name="DiagLine9">
          <a:extLst>
            <a:ext uri="{FF2B5EF4-FFF2-40B4-BE49-F238E27FC236}">
              <a16:creationId xmlns:a16="http://schemas.microsoft.com/office/drawing/2014/main" id="{A3516E53-18DA-9DCC-E544-0125002DEFDA}"/>
            </a:ext>
          </a:extLst>
        </xdr:cNvPr>
        <xdr:cNvCxnSpPr/>
      </xdr:nvCxnSpPr>
      <xdr:spPr>
        <a:xfrm flipH="1">
          <a:off x="39243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22</xdr:row>
      <xdr:rowOff>0</xdr:rowOff>
    </xdr:from>
    <xdr:to>
      <xdr:col>11</xdr:col>
      <xdr:colOff>0</xdr:colOff>
      <xdr:row>24</xdr:row>
      <xdr:rowOff>0</xdr:rowOff>
    </xdr:to>
    <xdr:cxnSp macro="">
      <xdr:nvCxnSpPr>
        <xdr:cNvPr id="26" name="DiagLine10">
          <a:extLst>
            <a:ext uri="{FF2B5EF4-FFF2-40B4-BE49-F238E27FC236}">
              <a16:creationId xmlns:a16="http://schemas.microsoft.com/office/drawing/2014/main" id="{9BC07B8F-7E4D-04E9-68CD-573D714491C3}"/>
            </a:ext>
          </a:extLst>
        </xdr:cNvPr>
        <xdr:cNvCxnSpPr/>
      </xdr:nvCxnSpPr>
      <xdr:spPr>
        <a:xfrm flipH="1">
          <a:off x="43624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22</xdr:row>
      <xdr:rowOff>0</xdr:rowOff>
    </xdr:from>
    <xdr:to>
      <xdr:col>12</xdr:col>
      <xdr:colOff>0</xdr:colOff>
      <xdr:row>24</xdr:row>
      <xdr:rowOff>0</xdr:rowOff>
    </xdr:to>
    <xdr:cxnSp macro="">
      <xdr:nvCxnSpPr>
        <xdr:cNvPr id="27" name="DiagLine11">
          <a:extLst>
            <a:ext uri="{FF2B5EF4-FFF2-40B4-BE49-F238E27FC236}">
              <a16:creationId xmlns:a16="http://schemas.microsoft.com/office/drawing/2014/main" id="{573136F0-AC85-EFD4-916A-858B2ED51FF1}"/>
            </a:ext>
          </a:extLst>
        </xdr:cNvPr>
        <xdr:cNvCxnSpPr/>
      </xdr:nvCxnSpPr>
      <xdr:spPr>
        <a:xfrm flipH="1">
          <a:off x="48006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22</xdr:row>
      <xdr:rowOff>0</xdr:rowOff>
    </xdr:from>
    <xdr:to>
      <xdr:col>13</xdr:col>
      <xdr:colOff>0</xdr:colOff>
      <xdr:row>24</xdr:row>
      <xdr:rowOff>0</xdr:rowOff>
    </xdr:to>
    <xdr:cxnSp macro="">
      <xdr:nvCxnSpPr>
        <xdr:cNvPr id="28" name="DiagLine12">
          <a:extLst>
            <a:ext uri="{FF2B5EF4-FFF2-40B4-BE49-F238E27FC236}">
              <a16:creationId xmlns:a16="http://schemas.microsoft.com/office/drawing/2014/main" id="{C400E29F-1C48-54F9-31FB-20FAB25302EE}"/>
            </a:ext>
          </a:extLst>
        </xdr:cNvPr>
        <xdr:cNvCxnSpPr/>
      </xdr:nvCxnSpPr>
      <xdr:spPr>
        <a:xfrm flipH="1">
          <a:off x="52387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22</xdr:row>
      <xdr:rowOff>0</xdr:rowOff>
    </xdr:from>
    <xdr:to>
      <xdr:col>14</xdr:col>
      <xdr:colOff>0</xdr:colOff>
      <xdr:row>24</xdr:row>
      <xdr:rowOff>0</xdr:rowOff>
    </xdr:to>
    <xdr:cxnSp macro="">
      <xdr:nvCxnSpPr>
        <xdr:cNvPr id="29" name="DiagLine13">
          <a:extLst>
            <a:ext uri="{FF2B5EF4-FFF2-40B4-BE49-F238E27FC236}">
              <a16:creationId xmlns:a16="http://schemas.microsoft.com/office/drawing/2014/main" id="{956F2B1D-CFDB-5895-7746-20C50DBE1AE2}"/>
            </a:ext>
          </a:extLst>
        </xdr:cNvPr>
        <xdr:cNvCxnSpPr/>
      </xdr:nvCxnSpPr>
      <xdr:spPr>
        <a:xfrm flipH="1">
          <a:off x="56769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22</xdr:row>
      <xdr:rowOff>0</xdr:rowOff>
    </xdr:from>
    <xdr:to>
      <xdr:col>15</xdr:col>
      <xdr:colOff>0</xdr:colOff>
      <xdr:row>24</xdr:row>
      <xdr:rowOff>0</xdr:rowOff>
    </xdr:to>
    <xdr:cxnSp macro="">
      <xdr:nvCxnSpPr>
        <xdr:cNvPr id="30" name="DiagLine14">
          <a:extLst>
            <a:ext uri="{FF2B5EF4-FFF2-40B4-BE49-F238E27FC236}">
              <a16:creationId xmlns:a16="http://schemas.microsoft.com/office/drawing/2014/main" id="{F7F1E2E9-7025-E2A0-CDC4-6E6B51ACCF78}"/>
            </a:ext>
          </a:extLst>
        </xdr:cNvPr>
        <xdr:cNvCxnSpPr/>
      </xdr:nvCxnSpPr>
      <xdr:spPr>
        <a:xfrm flipH="1">
          <a:off x="61150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22</xdr:row>
      <xdr:rowOff>0</xdr:rowOff>
    </xdr:from>
    <xdr:to>
      <xdr:col>16</xdr:col>
      <xdr:colOff>0</xdr:colOff>
      <xdr:row>24</xdr:row>
      <xdr:rowOff>0</xdr:rowOff>
    </xdr:to>
    <xdr:cxnSp macro="">
      <xdr:nvCxnSpPr>
        <xdr:cNvPr id="31" name="DiagLine15">
          <a:extLst>
            <a:ext uri="{FF2B5EF4-FFF2-40B4-BE49-F238E27FC236}">
              <a16:creationId xmlns:a16="http://schemas.microsoft.com/office/drawing/2014/main" id="{9A3B17AF-A7B0-67A2-E9CB-88ABB8C1B253}"/>
            </a:ext>
          </a:extLst>
        </xdr:cNvPr>
        <xdr:cNvCxnSpPr/>
      </xdr:nvCxnSpPr>
      <xdr:spPr>
        <a:xfrm flipH="1">
          <a:off x="65532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60960</xdr:colOff>
          <xdr:row>3</xdr:row>
          <xdr:rowOff>30480</xdr:rowOff>
        </xdr:from>
        <xdr:to>
          <xdr:col>18</xdr:col>
          <xdr:colOff>533400</xdr:colOff>
          <xdr:row>3</xdr:row>
          <xdr:rowOff>335280</xdr:rowOff>
        </xdr:to>
        <xdr:sp macro="" textlink="">
          <xdr:nvSpPr>
            <xdr:cNvPr id="33793" name="Btn_0" hidden="1">
              <a:extLst>
                <a:ext uri="{63B3BB69-23CF-44E3-9099-C40C66FF867C}">
                  <a14:compatExt spid="_x0000_s33793"/>
                </a:ext>
                <a:ext uri="{FF2B5EF4-FFF2-40B4-BE49-F238E27FC236}">
                  <a16:creationId xmlns:a16="http://schemas.microsoft.com/office/drawing/2014/main" id="{00000000-0008-0000-1000-0000018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900" b="0" i="0" u="none" strike="noStrike" baseline="0">
                  <a:solidFill>
                    <a:srgbClr val="000000"/>
                  </a:solidFill>
                  <a:latin typeface="メイリオ"/>
                  <a:ea typeface="メイリオ"/>
                </a:rPr>
                <a:t>新しい週を追加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60960</xdr:colOff>
          <xdr:row>3</xdr:row>
          <xdr:rowOff>441960</xdr:rowOff>
        </xdr:from>
        <xdr:to>
          <xdr:col>18</xdr:col>
          <xdr:colOff>533400</xdr:colOff>
          <xdr:row>4</xdr:row>
          <xdr:rowOff>45720</xdr:rowOff>
        </xdr:to>
        <xdr:sp macro="" textlink="">
          <xdr:nvSpPr>
            <xdr:cNvPr id="33794" name="Btn_1" hidden="1">
              <a:extLst>
                <a:ext uri="{63B3BB69-23CF-44E3-9099-C40C66FF867C}">
                  <a14:compatExt spid="_x0000_s33794"/>
                </a:ext>
                <a:ext uri="{FF2B5EF4-FFF2-40B4-BE49-F238E27FC236}">
                  <a16:creationId xmlns:a16="http://schemas.microsoft.com/office/drawing/2014/main" id="{00000000-0008-0000-1000-0000028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900" b="0" i="0" u="none" strike="noStrike" baseline="0">
                  <a:solidFill>
                    <a:srgbClr val="000000"/>
                  </a:solidFill>
                  <a:latin typeface="メイリオ"/>
                  <a:ea typeface="メイリオ"/>
                </a:rPr>
                <a:t>時間割を再展開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60960</xdr:colOff>
          <xdr:row>4</xdr:row>
          <xdr:rowOff>144780</xdr:rowOff>
        </xdr:from>
        <xdr:to>
          <xdr:col>18</xdr:col>
          <xdr:colOff>533400</xdr:colOff>
          <xdr:row>5</xdr:row>
          <xdr:rowOff>220980</xdr:rowOff>
        </xdr:to>
        <xdr:sp macro="" textlink="">
          <xdr:nvSpPr>
            <xdr:cNvPr id="33795" name="Btn_2" hidden="1">
              <a:extLst>
                <a:ext uri="{63B3BB69-23CF-44E3-9099-C40C66FF867C}">
                  <a14:compatExt spid="_x0000_s33795"/>
                </a:ext>
                <a:ext uri="{FF2B5EF4-FFF2-40B4-BE49-F238E27FC236}">
                  <a16:creationId xmlns:a16="http://schemas.microsoft.com/office/drawing/2014/main" id="{00000000-0008-0000-1000-0000038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900" b="0" i="0" u="none" strike="noStrike" baseline="0">
                  <a:solidFill>
                    <a:srgbClr val="000000"/>
                  </a:solidFill>
                  <a:latin typeface="メイリオ"/>
                  <a:ea typeface="メイリオ"/>
                </a:rPr>
                <a:t>累計を更新</a:t>
              </a:r>
            </a:p>
          </xdr:txBody>
        </xdr:sp>
        <xdr:clientData fPrintsWithSheet="0"/>
      </xdr:twoCellAnchor>
    </mc:Choice>
    <mc:Fallback/>
  </mc:AlternateContent>
  <xdr:twoCellAnchor>
    <xdr:from>
      <xdr:col>1</xdr:col>
      <xdr:colOff>0</xdr:colOff>
      <xdr:row>22</xdr:row>
      <xdr:rowOff>0</xdr:rowOff>
    </xdr:from>
    <xdr:to>
      <xdr:col>2</xdr:col>
      <xdr:colOff>0</xdr:colOff>
      <xdr:row>24</xdr:row>
      <xdr:rowOff>0</xdr:rowOff>
    </xdr:to>
    <xdr:cxnSp macro="">
      <xdr:nvCxnSpPr>
        <xdr:cNvPr id="32" name="DiagLine1">
          <a:extLst>
            <a:ext uri="{FF2B5EF4-FFF2-40B4-BE49-F238E27FC236}">
              <a16:creationId xmlns:a16="http://schemas.microsoft.com/office/drawing/2014/main" id="{C969A6E0-EA9B-ACA1-C8BE-742EACD6E059}"/>
            </a:ext>
          </a:extLst>
        </xdr:cNvPr>
        <xdr:cNvCxnSpPr/>
      </xdr:nvCxnSpPr>
      <xdr:spPr>
        <a:xfrm flipH="1">
          <a:off x="4191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22</xdr:row>
      <xdr:rowOff>0</xdr:rowOff>
    </xdr:from>
    <xdr:to>
      <xdr:col>3</xdr:col>
      <xdr:colOff>0</xdr:colOff>
      <xdr:row>24</xdr:row>
      <xdr:rowOff>0</xdr:rowOff>
    </xdr:to>
    <xdr:cxnSp macro="">
      <xdr:nvCxnSpPr>
        <xdr:cNvPr id="33" name="DiagLine2">
          <a:extLst>
            <a:ext uri="{FF2B5EF4-FFF2-40B4-BE49-F238E27FC236}">
              <a16:creationId xmlns:a16="http://schemas.microsoft.com/office/drawing/2014/main" id="{A1582581-0EC4-D5A7-2EBD-C21C201BFFBA}"/>
            </a:ext>
          </a:extLst>
        </xdr:cNvPr>
        <xdr:cNvCxnSpPr/>
      </xdr:nvCxnSpPr>
      <xdr:spPr>
        <a:xfrm flipH="1">
          <a:off x="8572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0</xdr:rowOff>
    </xdr:from>
    <xdr:to>
      <xdr:col>4</xdr:col>
      <xdr:colOff>0</xdr:colOff>
      <xdr:row>24</xdr:row>
      <xdr:rowOff>0</xdr:rowOff>
    </xdr:to>
    <xdr:cxnSp macro="">
      <xdr:nvCxnSpPr>
        <xdr:cNvPr id="34" name="DiagLine3">
          <a:extLst>
            <a:ext uri="{FF2B5EF4-FFF2-40B4-BE49-F238E27FC236}">
              <a16:creationId xmlns:a16="http://schemas.microsoft.com/office/drawing/2014/main" id="{A73755CF-6757-8C44-F135-A83E300A3342}"/>
            </a:ext>
          </a:extLst>
        </xdr:cNvPr>
        <xdr:cNvCxnSpPr/>
      </xdr:nvCxnSpPr>
      <xdr:spPr>
        <a:xfrm flipH="1">
          <a:off x="12954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22</xdr:row>
      <xdr:rowOff>0</xdr:rowOff>
    </xdr:from>
    <xdr:to>
      <xdr:col>5</xdr:col>
      <xdr:colOff>0</xdr:colOff>
      <xdr:row>24</xdr:row>
      <xdr:rowOff>0</xdr:rowOff>
    </xdr:to>
    <xdr:cxnSp macro="">
      <xdr:nvCxnSpPr>
        <xdr:cNvPr id="35" name="DiagLine4">
          <a:extLst>
            <a:ext uri="{FF2B5EF4-FFF2-40B4-BE49-F238E27FC236}">
              <a16:creationId xmlns:a16="http://schemas.microsoft.com/office/drawing/2014/main" id="{54B6F316-AAF0-3F09-F684-425EE8820A3E}"/>
            </a:ext>
          </a:extLst>
        </xdr:cNvPr>
        <xdr:cNvCxnSpPr/>
      </xdr:nvCxnSpPr>
      <xdr:spPr>
        <a:xfrm flipH="1">
          <a:off x="17335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22</xdr:row>
      <xdr:rowOff>0</xdr:rowOff>
    </xdr:from>
    <xdr:to>
      <xdr:col>6</xdr:col>
      <xdr:colOff>0</xdr:colOff>
      <xdr:row>24</xdr:row>
      <xdr:rowOff>0</xdr:rowOff>
    </xdr:to>
    <xdr:cxnSp macro="">
      <xdr:nvCxnSpPr>
        <xdr:cNvPr id="36" name="DiagLine5">
          <a:extLst>
            <a:ext uri="{FF2B5EF4-FFF2-40B4-BE49-F238E27FC236}">
              <a16:creationId xmlns:a16="http://schemas.microsoft.com/office/drawing/2014/main" id="{BBB45FC0-FD5E-1F92-B997-62AC703EAF60}"/>
            </a:ext>
          </a:extLst>
        </xdr:cNvPr>
        <xdr:cNvCxnSpPr/>
      </xdr:nvCxnSpPr>
      <xdr:spPr>
        <a:xfrm flipH="1">
          <a:off x="21717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22</xdr:row>
      <xdr:rowOff>0</xdr:rowOff>
    </xdr:from>
    <xdr:to>
      <xdr:col>7</xdr:col>
      <xdr:colOff>0</xdr:colOff>
      <xdr:row>24</xdr:row>
      <xdr:rowOff>0</xdr:rowOff>
    </xdr:to>
    <xdr:cxnSp macro="">
      <xdr:nvCxnSpPr>
        <xdr:cNvPr id="37" name="DiagLine6">
          <a:extLst>
            <a:ext uri="{FF2B5EF4-FFF2-40B4-BE49-F238E27FC236}">
              <a16:creationId xmlns:a16="http://schemas.microsoft.com/office/drawing/2014/main" id="{C0A77C5A-CCCC-8549-49B4-BF0ECD7CBF9C}"/>
            </a:ext>
          </a:extLst>
        </xdr:cNvPr>
        <xdr:cNvCxnSpPr/>
      </xdr:nvCxnSpPr>
      <xdr:spPr>
        <a:xfrm flipH="1">
          <a:off x="26098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22</xdr:row>
      <xdr:rowOff>0</xdr:rowOff>
    </xdr:from>
    <xdr:to>
      <xdr:col>8</xdr:col>
      <xdr:colOff>0</xdr:colOff>
      <xdr:row>24</xdr:row>
      <xdr:rowOff>0</xdr:rowOff>
    </xdr:to>
    <xdr:cxnSp macro="">
      <xdr:nvCxnSpPr>
        <xdr:cNvPr id="38" name="DiagLine7">
          <a:extLst>
            <a:ext uri="{FF2B5EF4-FFF2-40B4-BE49-F238E27FC236}">
              <a16:creationId xmlns:a16="http://schemas.microsoft.com/office/drawing/2014/main" id="{4B09ED73-8311-A1D2-696A-11CC68C82B31}"/>
            </a:ext>
          </a:extLst>
        </xdr:cNvPr>
        <xdr:cNvCxnSpPr/>
      </xdr:nvCxnSpPr>
      <xdr:spPr>
        <a:xfrm flipH="1">
          <a:off x="30480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22</xdr:row>
      <xdr:rowOff>0</xdr:rowOff>
    </xdr:from>
    <xdr:to>
      <xdr:col>9</xdr:col>
      <xdr:colOff>0</xdr:colOff>
      <xdr:row>24</xdr:row>
      <xdr:rowOff>0</xdr:rowOff>
    </xdr:to>
    <xdr:cxnSp macro="">
      <xdr:nvCxnSpPr>
        <xdr:cNvPr id="39" name="DiagLine8">
          <a:extLst>
            <a:ext uri="{FF2B5EF4-FFF2-40B4-BE49-F238E27FC236}">
              <a16:creationId xmlns:a16="http://schemas.microsoft.com/office/drawing/2014/main" id="{5E28DFD3-12AA-C598-A088-614C236FBA74}"/>
            </a:ext>
          </a:extLst>
        </xdr:cNvPr>
        <xdr:cNvCxnSpPr/>
      </xdr:nvCxnSpPr>
      <xdr:spPr>
        <a:xfrm flipH="1">
          <a:off x="34861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22</xdr:row>
      <xdr:rowOff>0</xdr:rowOff>
    </xdr:from>
    <xdr:to>
      <xdr:col>10</xdr:col>
      <xdr:colOff>0</xdr:colOff>
      <xdr:row>24</xdr:row>
      <xdr:rowOff>0</xdr:rowOff>
    </xdr:to>
    <xdr:cxnSp macro="">
      <xdr:nvCxnSpPr>
        <xdr:cNvPr id="40" name="DiagLine9">
          <a:extLst>
            <a:ext uri="{FF2B5EF4-FFF2-40B4-BE49-F238E27FC236}">
              <a16:creationId xmlns:a16="http://schemas.microsoft.com/office/drawing/2014/main" id="{DD9D1857-BCEE-A87E-9F58-BEED95DDDC0A}"/>
            </a:ext>
          </a:extLst>
        </xdr:cNvPr>
        <xdr:cNvCxnSpPr/>
      </xdr:nvCxnSpPr>
      <xdr:spPr>
        <a:xfrm flipH="1">
          <a:off x="39243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22</xdr:row>
      <xdr:rowOff>0</xdr:rowOff>
    </xdr:from>
    <xdr:to>
      <xdr:col>11</xdr:col>
      <xdr:colOff>0</xdr:colOff>
      <xdr:row>24</xdr:row>
      <xdr:rowOff>0</xdr:rowOff>
    </xdr:to>
    <xdr:cxnSp macro="">
      <xdr:nvCxnSpPr>
        <xdr:cNvPr id="41" name="DiagLine10">
          <a:extLst>
            <a:ext uri="{FF2B5EF4-FFF2-40B4-BE49-F238E27FC236}">
              <a16:creationId xmlns:a16="http://schemas.microsoft.com/office/drawing/2014/main" id="{6E10A423-8A5E-2E76-D0E2-B73A96853E94}"/>
            </a:ext>
          </a:extLst>
        </xdr:cNvPr>
        <xdr:cNvCxnSpPr/>
      </xdr:nvCxnSpPr>
      <xdr:spPr>
        <a:xfrm flipH="1">
          <a:off x="43624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22</xdr:row>
      <xdr:rowOff>0</xdr:rowOff>
    </xdr:from>
    <xdr:to>
      <xdr:col>12</xdr:col>
      <xdr:colOff>0</xdr:colOff>
      <xdr:row>24</xdr:row>
      <xdr:rowOff>0</xdr:rowOff>
    </xdr:to>
    <xdr:cxnSp macro="">
      <xdr:nvCxnSpPr>
        <xdr:cNvPr id="42" name="DiagLine11">
          <a:extLst>
            <a:ext uri="{FF2B5EF4-FFF2-40B4-BE49-F238E27FC236}">
              <a16:creationId xmlns:a16="http://schemas.microsoft.com/office/drawing/2014/main" id="{DFE31265-41FE-B424-335A-9D45178DE069}"/>
            </a:ext>
          </a:extLst>
        </xdr:cNvPr>
        <xdr:cNvCxnSpPr/>
      </xdr:nvCxnSpPr>
      <xdr:spPr>
        <a:xfrm flipH="1">
          <a:off x="48006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22</xdr:row>
      <xdr:rowOff>0</xdr:rowOff>
    </xdr:from>
    <xdr:to>
      <xdr:col>13</xdr:col>
      <xdr:colOff>0</xdr:colOff>
      <xdr:row>24</xdr:row>
      <xdr:rowOff>0</xdr:rowOff>
    </xdr:to>
    <xdr:cxnSp macro="">
      <xdr:nvCxnSpPr>
        <xdr:cNvPr id="43" name="DiagLine12">
          <a:extLst>
            <a:ext uri="{FF2B5EF4-FFF2-40B4-BE49-F238E27FC236}">
              <a16:creationId xmlns:a16="http://schemas.microsoft.com/office/drawing/2014/main" id="{8AD09EAE-9D24-D6AD-2615-729A0A619AA5}"/>
            </a:ext>
          </a:extLst>
        </xdr:cNvPr>
        <xdr:cNvCxnSpPr/>
      </xdr:nvCxnSpPr>
      <xdr:spPr>
        <a:xfrm flipH="1">
          <a:off x="52387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22</xdr:row>
      <xdr:rowOff>0</xdr:rowOff>
    </xdr:from>
    <xdr:to>
      <xdr:col>14</xdr:col>
      <xdr:colOff>0</xdr:colOff>
      <xdr:row>24</xdr:row>
      <xdr:rowOff>0</xdr:rowOff>
    </xdr:to>
    <xdr:cxnSp macro="">
      <xdr:nvCxnSpPr>
        <xdr:cNvPr id="44" name="DiagLine13">
          <a:extLst>
            <a:ext uri="{FF2B5EF4-FFF2-40B4-BE49-F238E27FC236}">
              <a16:creationId xmlns:a16="http://schemas.microsoft.com/office/drawing/2014/main" id="{E98FFED7-61D0-D973-2794-0AD2C55F31AC}"/>
            </a:ext>
          </a:extLst>
        </xdr:cNvPr>
        <xdr:cNvCxnSpPr/>
      </xdr:nvCxnSpPr>
      <xdr:spPr>
        <a:xfrm flipH="1">
          <a:off x="56769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22</xdr:row>
      <xdr:rowOff>0</xdr:rowOff>
    </xdr:from>
    <xdr:to>
      <xdr:col>15</xdr:col>
      <xdr:colOff>0</xdr:colOff>
      <xdr:row>24</xdr:row>
      <xdr:rowOff>0</xdr:rowOff>
    </xdr:to>
    <xdr:cxnSp macro="">
      <xdr:nvCxnSpPr>
        <xdr:cNvPr id="45" name="DiagLine14">
          <a:extLst>
            <a:ext uri="{FF2B5EF4-FFF2-40B4-BE49-F238E27FC236}">
              <a16:creationId xmlns:a16="http://schemas.microsoft.com/office/drawing/2014/main" id="{09B49D48-958A-8FB0-726D-BC2010D7CA2C}"/>
            </a:ext>
          </a:extLst>
        </xdr:cNvPr>
        <xdr:cNvCxnSpPr/>
      </xdr:nvCxnSpPr>
      <xdr:spPr>
        <a:xfrm flipH="1">
          <a:off x="61150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22</xdr:row>
      <xdr:rowOff>0</xdr:rowOff>
    </xdr:from>
    <xdr:to>
      <xdr:col>16</xdr:col>
      <xdr:colOff>0</xdr:colOff>
      <xdr:row>24</xdr:row>
      <xdr:rowOff>0</xdr:rowOff>
    </xdr:to>
    <xdr:cxnSp macro="">
      <xdr:nvCxnSpPr>
        <xdr:cNvPr id="46" name="DiagLine15">
          <a:extLst>
            <a:ext uri="{FF2B5EF4-FFF2-40B4-BE49-F238E27FC236}">
              <a16:creationId xmlns:a16="http://schemas.microsoft.com/office/drawing/2014/main" id="{F665B5E5-1A30-7D67-26B8-DF5664EB4D70}"/>
            </a:ext>
          </a:extLst>
        </xdr:cNvPr>
        <xdr:cNvCxnSpPr/>
      </xdr:nvCxnSpPr>
      <xdr:spPr>
        <a:xfrm flipH="1">
          <a:off x="65532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60960</xdr:colOff>
          <xdr:row>3</xdr:row>
          <xdr:rowOff>30480</xdr:rowOff>
        </xdr:from>
        <xdr:to>
          <xdr:col>18</xdr:col>
          <xdr:colOff>533400</xdr:colOff>
          <xdr:row>3</xdr:row>
          <xdr:rowOff>335280</xdr:rowOff>
        </xdr:to>
        <xdr:sp macro="" textlink="">
          <xdr:nvSpPr>
            <xdr:cNvPr id="34817" name="Btn_0" hidden="1">
              <a:extLst>
                <a:ext uri="{63B3BB69-23CF-44E3-9099-C40C66FF867C}">
                  <a14:compatExt spid="_x0000_s34817"/>
                </a:ext>
                <a:ext uri="{FF2B5EF4-FFF2-40B4-BE49-F238E27FC236}">
                  <a16:creationId xmlns:a16="http://schemas.microsoft.com/office/drawing/2014/main" id="{00000000-0008-0000-1100-0000018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900" b="0" i="0" u="none" strike="noStrike" baseline="0">
                  <a:solidFill>
                    <a:srgbClr val="000000"/>
                  </a:solidFill>
                  <a:latin typeface="メイリオ"/>
                  <a:ea typeface="メイリオ"/>
                </a:rPr>
                <a:t>新しい週を追加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60960</xdr:colOff>
          <xdr:row>3</xdr:row>
          <xdr:rowOff>441960</xdr:rowOff>
        </xdr:from>
        <xdr:to>
          <xdr:col>18</xdr:col>
          <xdr:colOff>533400</xdr:colOff>
          <xdr:row>4</xdr:row>
          <xdr:rowOff>45720</xdr:rowOff>
        </xdr:to>
        <xdr:sp macro="" textlink="">
          <xdr:nvSpPr>
            <xdr:cNvPr id="34818" name="Btn_1" hidden="1">
              <a:extLst>
                <a:ext uri="{63B3BB69-23CF-44E3-9099-C40C66FF867C}">
                  <a14:compatExt spid="_x0000_s34818"/>
                </a:ext>
                <a:ext uri="{FF2B5EF4-FFF2-40B4-BE49-F238E27FC236}">
                  <a16:creationId xmlns:a16="http://schemas.microsoft.com/office/drawing/2014/main" id="{00000000-0008-0000-1100-0000028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900" b="0" i="0" u="none" strike="noStrike" baseline="0">
                  <a:solidFill>
                    <a:srgbClr val="000000"/>
                  </a:solidFill>
                  <a:latin typeface="メイリオ"/>
                  <a:ea typeface="メイリオ"/>
                </a:rPr>
                <a:t>時間割を再展開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60960</xdr:colOff>
          <xdr:row>4</xdr:row>
          <xdr:rowOff>144780</xdr:rowOff>
        </xdr:from>
        <xdr:to>
          <xdr:col>18</xdr:col>
          <xdr:colOff>533400</xdr:colOff>
          <xdr:row>5</xdr:row>
          <xdr:rowOff>220980</xdr:rowOff>
        </xdr:to>
        <xdr:sp macro="" textlink="">
          <xdr:nvSpPr>
            <xdr:cNvPr id="34819" name="Btn_2" hidden="1">
              <a:extLst>
                <a:ext uri="{63B3BB69-23CF-44E3-9099-C40C66FF867C}">
                  <a14:compatExt spid="_x0000_s34819"/>
                </a:ext>
                <a:ext uri="{FF2B5EF4-FFF2-40B4-BE49-F238E27FC236}">
                  <a16:creationId xmlns:a16="http://schemas.microsoft.com/office/drawing/2014/main" id="{00000000-0008-0000-1100-0000038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900" b="0" i="0" u="none" strike="noStrike" baseline="0">
                  <a:solidFill>
                    <a:srgbClr val="000000"/>
                  </a:solidFill>
                  <a:latin typeface="メイリオ"/>
                  <a:ea typeface="メイリオ"/>
                </a:rPr>
                <a:t>累計を更新</a:t>
              </a:r>
            </a:p>
          </xdr:txBody>
        </xdr:sp>
        <xdr:clientData fPrintsWithSheet="0"/>
      </xdr:twoCellAnchor>
    </mc:Choice>
    <mc:Fallback/>
  </mc:AlternateContent>
  <xdr:twoCellAnchor>
    <xdr:from>
      <xdr:col>1</xdr:col>
      <xdr:colOff>0</xdr:colOff>
      <xdr:row>22</xdr:row>
      <xdr:rowOff>0</xdr:rowOff>
    </xdr:from>
    <xdr:to>
      <xdr:col>2</xdr:col>
      <xdr:colOff>0</xdr:colOff>
      <xdr:row>24</xdr:row>
      <xdr:rowOff>0</xdr:rowOff>
    </xdr:to>
    <xdr:cxnSp macro="">
      <xdr:nvCxnSpPr>
        <xdr:cNvPr id="62" name="DiagLine1">
          <a:extLst>
            <a:ext uri="{FF2B5EF4-FFF2-40B4-BE49-F238E27FC236}">
              <a16:creationId xmlns:a16="http://schemas.microsoft.com/office/drawing/2014/main" id="{5CFF21E2-09ED-DDDF-8CA9-3AC0760A9744}"/>
            </a:ext>
          </a:extLst>
        </xdr:cNvPr>
        <xdr:cNvCxnSpPr/>
      </xdr:nvCxnSpPr>
      <xdr:spPr>
        <a:xfrm flipH="1">
          <a:off x="4191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22</xdr:row>
      <xdr:rowOff>0</xdr:rowOff>
    </xdr:from>
    <xdr:to>
      <xdr:col>3</xdr:col>
      <xdr:colOff>0</xdr:colOff>
      <xdr:row>24</xdr:row>
      <xdr:rowOff>0</xdr:rowOff>
    </xdr:to>
    <xdr:cxnSp macro="">
      <xdr:nvCxnSpPr>
        <xdr:cNvPr id="63" name="DiagLine2">
          <a:extLst>
            <a:ext uri="{FF2B5EF4-FFF2-40B4-BE49-F238E27FC236}">
              <a16:creationId xmlns:a16="http://schemas.microsoft.com/office/drawing/2014/main" id="{B1AE9C88-0DBF-C8A9-1791-43F8AD221DDF}"/>
            </a:ext>
          </a:extLst>
        </xdr:cNvPr>
        <xdr:cNvCxnSpPr/>
      </xdr:nvCxnSpPr>
      <xdr:spPr>
        <a:xfrm flipH="1">
          <a:off x="8572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0</xdr:rowOff>
    </xdr:from>
    <xdr:to>
      <xdr:col>4</xdr:col>
      <xdr:colOff>0</xdr:colOff>
      <xdr:row>24</xdr:row>
      <xdr:rowOff>0</xdr:rowOff>
    </xdr:to>
    <xdr:cxnSp macro="">
      <xdr:nvCxnSpPr>
        <xdr:cNvPr id="34816" name="DiagLine3">
          <a:extLst>
            <a:ext uri="{FF2B5EF4-FFF2-40B4-BE49-F238E27FC236}">
              <a16:creationId xmlns:a16="http://schemas.microsoft.com/office/drawing/2014/main" id="{9637B7D2-460F-B625-CA9C-2428CA0D8DC1}"/>
            </a:ext>
          </a:extLst>
        </xdr:cNvPr>
        <xdr:cNvCxnSpPr/>
      </xdr:nvCxnSpPr>
      <xdr:spPr>
        <a:xfrm flipH="1">
          <a:off x="12954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22</xdr:row>
      <xdr:rowOff>0</xdr:rowOff>
    </xdr:from>
    <xdr:to>
      <xdr:col>5</xdr:col>
      <xdr:colOff>0</xdr:colOff>
      <xdr:row>24</xdr:row>
      <xdr:rowOff>0</xdr:rowOff>
    </xdr:to>
    <xdr:cxnSp macro="">
      <xdr:nvCxnSpPr>
        <xdr:cNvPr id="34820" name="DiagLine4">
          <a:extLst>
            <a:ext uri="{FF2B5EF4-FFF2-40B4-BE49-F238E27FC236}">
              <a16:creationId xmlns:a16="http://schemas.microsoft.com/office/drawing/2014/main" id="{34BDD19E-4AD9-ED5B-BECC-BF2284946865}"/>
            </a:ext>
          </a:extLst>
        </xdr:cNvPr>
        <xdr:cNvCxnSpPr/>
      </xdr:nvCxnSpPr>
      <xdr:spPr>
        <a:xfrm flipH="1">
          <a:off x="17335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22</xdr:row>
      <xdr:rowOff>0</xdr:rowOff>
    </xdr:from>
    <xdr:to>
      <xdr:col>6</xdr:col>
      <xdr:colOff>0</xdr:colOff>
      <xdr:row>24</xdr:row>
      <xdr:rowOff>0</xdr:rowOff>
    </xdr:to>
    <xdr:cxnSp macro="">
      <xdr:nvCxnSpPr>
        <xdr:cNvPr id="34821" name="DiagLine5">
          <a:extLst>
            <a:ext uri="{FF2B5EF4-FFF2-40B4-BE49-F238E27FC236}">
              <a16:creationId xmlns:a16="http://schemas.microsoft.com/office/drawing/2014/main" id="{532710EA-D41D-0167-BC95-FBD473A4CC43}"/>
            </a:ext>
          </a:extLst>
        </xdr:cNvPr>
        <xdr:cNvCxnSpPr/>
      </xdr:nvCxnSpPr>
      <xdr:spPr>
        <a:xfrm flipH="1">
          <a:off x="21717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22</xdr:row>
      <xdr:rowOff>0</xdr:rowOff>
    </xdr:from>
    <xdr:to>
      <xdr:col>7</xdr:col>
      <xdr:colOff>0</xdr:colOff>
      <xdr:row>24</xdr:row>
      <xdr:rowOff>0</xdr:rowOff>
    </xdr:to>
    <xdr:cxnSp macro="">
      <xdr:nvCxnSpPr>
        <xdr:cNvPr id="34822" name="DiagLine6">
          <a:extLst>
            <a:ext uri="{FF2B5EF4-FFF2-40B4-BE49-F238E27FC236}">
              <a16:creationId xmlns:a16="http://schemas.microsoft.com/office/drawing/2014/main" id="{E75410E8-B628-29F5-33FE-DB144EA90C21}"/>
            </a:ext>
          </a:extLst>
        </xdr:cNvPr>
        <xdr:cNvCxnSpPr/>
      </xdr:nvCxnSpPr>
      <xdr:spPr>
        <a:xfrm flipH="1">
          <a:off x="26098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22</xdr:row>
      <xdr:rowOff>0</xdr:rowOff>
    </xdr:from>
    <xdr:to>
      <xdr:col>8</xdr:col>
      <xdr:colOff>0</xdr:colOff>
      <xdr:row>24</xdr:row>
      <xdr:rowOff>0</xdr:rowOff>
    </xdr:to>
    <xdr:cxnSp macro="">
      <xdr:nvCxnSpPr>
        <xdr:cNvPr id="34823" name="DiagLine7">
          <a:extLst>
            <a:ext uri="{FF2B5EF4-FFF2-40B4-BE49-F238E27FC236}">
              <a16:creationId xmlns:a16="http://schemas.microsoft.com/office/drawing/2014/main" id="{91BB537B-235A-89A3-95B5-568BE9BE15DB}"/>
            </a:ext>
          </a:extLst>
        </xdr:cNvPr>
        <xdr:cNvCxnSpPr/>
      </xdr:nvCxnSpPr>
      <xdr:spPr>
        <a:xfrm flipH="1">
          <a:off x="30480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22</xdr:row>
      <xdr:rowOff>0</xdr:rowOff>
    </xdr:from>
    <xdr:to>
      <xdr:col>9</xdr:col>
      <xdr:colOff>0</xdr:colOff>
      <xdr:row>24</xdr:row>
      <xdr:rowOff>0</xdr:rowOff>
    </xdr:to>
    <xdr:cxnSp macro="">
      <xdr:nvCxnSpPr>
        <xdr:cNvPr id="34824" name="DiagLine8">
          <a:extLst>
            <a:ext uri="{FF2B5EF4-FFF2-40B4-BE49-F238E27FC236}">
              <a16:creationId xmlns:a16="http://schemas.microsoft.com/office/drawing/2014/main" id="{0695B623-5CF9-E604-BC94-CD7D38E98474}"/>
            </a:ext>
          </a:extLst>
        </xdr:cNvPr>
        <xdr:cNvCxnSpPr/>
      </xdr:nvCxnSpPr>
      <xdr:spPr>
        <a:xfrm flipH="1">
          <a:off x="34861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22</xdr:row>
      <xdr:rowOff>0</xdr:rowOff>
    </xdr:from>
    <xdr:to>
      <xdr:col>10</xdr:col>
      <xdr:colOff>0</xdr:colOff>
      <xdr:row>24</xdr:row>
      <xdr:rowOff>0</xdr:rowOff>
    </xdr:to>
    <xdr:cxnSp macro="">
      <xdr:nvCxnSpPr>
        <xdr:cNvPr id="34825" name="DiagLine9">
          <a:extLst>
            <a:ext uri="{FF2B5EF4-FFF2-40B4-BE49-F238E27FC236}">
              <a16:creationId xmlns:a16="http://schemas.microsoft.com/office/drawing/2014/main" id="{B95ADFA0-0103-6EB7-16B9-239F2949A7B6}"/>
            </a:ext>
          </a:extLst>
        </xdr:cNvPr>
        <xdr:cNvCxnSpPr/>
      </xdr:nvCxnSpPr>
      <xdr:spPr>
        <a:xfrm flipH="1">
          <a:off x="39243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22</xdr:row>
      <xdr:rowOff>0</xdr:rowOff>
    </xdr:from>
    <xdr:to>
      <xdr:col>11</xdr:col>
      <xdr:colOff>0</xdr:colOff>
      <xdr:row>24</xdr:row>
      <xdr:rowOff>0</xdr:rowOff>
    </xdr:to>
    <xdr:cxnSp macro="">
      <xdr:nvCxnSpPr>
        <xdr:cNvPr id="34826" name="DiagLine10">
          <a:extLst>
            <a:ext uri="{FF2B5EF4-FFF2-40B4-BE49-F238E27FC236}">
              <a16:creationId xmlns:a16="http://schemas.microsoft.com/office/drawing/2014/main" id="{004B7D28-FB34-0B27-100F-B87A80D8814E}"/>
            </a:ext>
          </a:extLst>
        </xdr:cNvPr>
        <xdr:cNvCxnSpPr/>
      </xdr:nvCxnSpPr>
      <xdr:spPr>
        <a:xfrm flipH="1">
          <a:off x="43624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22</xdr:row>
      <xdr:rowOff>0</xdr:rowOff>
    </xdr:from>
    <xdr:to>
      <xdr:col>12</xdr:col>
      <xdr:colOff>0</xdr:colOff>
      <xdr:row>24</xdr:row>
      <xdr:rowOff>0</xdr:rowOff>
    </xdr:to>
    <xdr:cxnSp macro="">
      <xdr:nvCxnSpPr>
        <xdr:cNvPr id="34827" name="DiagLine11">
          <a:extLst>
            <a:ext uri="{FF2B5EF4-FFF2-40B4-BE49-F238E27FC236}">
              <a16:creationId xmlns:a16="http://schemas.microsoft.com/office/drawing/2014/main" id="{A7F2203E-5B29-9B3B-6C92-FB80FDCAB948}"/>
            </a:ext>
          </a:extLst>
        </xdr:cNvPr>
        <xdr:cNvCxnSpPr/>
      </xdr:nvCxnSpPr>
      <xdr:spPr>
        <a:xfrm flipH="1">
          <a:off x="48006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22</xdr:row>
      <xdr:rowOff>0</xdr:rowOff>
    </xdr:from>
    <xdr:to>
      <xdr:col>13</xdr:col>
      <xdr:colOff>0</xdr:colOff>
      <xdr:row>24</xdr:row>
      <xdr:rowOff>0</xdr:rowOff>
    </xdr:to>
    <xdr:cxnSp macro="">
      <xdr:nvCxnSpPr>
        <xdr:cNvPr id="34828" name="DiagLine12">
          <a:extLst>
            <a:ext uri="{FF2B5EF4-FFF2-40B4-BE49-F238E27FC236}">
              <a16:creationId xmlns:a16="http://schemas.microsoft.com/office/drawing/2014/main" id="{2B1F0724-4B07-A629-309C-0744F8F59E76}"/>
            </a:ext>
          </a:extLst>
        </xdr:cNvPr>
        <xdr:cNvCxnSpPr/>
      </xdr:nvCxnSpPr>
      <xdr:spPr>
        <a:xfrm flipH="1">
          <a:off x="52387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22</xdr:row>
      <xdr:rowOff>0</xdr:rowOff>
    </xdr:from>
    <xdr:to>
      <xdr:col>14</xdr:col>
      <xdr:colOff>0</xdr:colOff>
      <xdr:row>24</xdr:row>
      <xdr:rowOff>0</xdr:rowOff>
    </xdr:to>
    <xdr:cxnSp macro="">
      <xdr:nvCxnSpPr>
        <xdr:cNvPr id="34829" name="DiagLine13">
          <a:extLst>
            <a:ext uri="{FF2B5EF4-FFF2-40B4-BE49-F238E27FC236}">
              <a16:creationId xmlns:a16="http://schemas.microsoft.com/office/drawing/2014/main" id="{A514E29A-F0AF-084D-6E3D-98415F6C41A8}"/>
            </a:ext>
          </a:extLst>
        </xdr:cNvPr>
        <xdr:cNvCxnSpPr/>
      </xdr:nvCxnSpPr>
      <xdr:spPr>
        <a:xfrm flipH="1">
          <a:off x="56769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22</xdr:row>
      <xdr:rowOff>0</xdr:rowOff>
    </xdr:from>
    <xdr:to>
      <xdr:col>15</xdr:col>
      <xdr:colOff>0</xdr:colOff>
      <xdr:row>24</xdr:row>
      <xdr:rowOff>0</xdr:rowOff>
    </xdr:to>
    <xdr:cxnSp macro="">
      <xdr:nvCxnSpPr>
        <xdr:cNvPr id="34830" name="DiagLine14">
          <a:extLst>
            <a:ext uri="{FF2B5EF4-FFF2-40B4-BE49-F238E27FC236}">
              <a16:creationId xmlns:a16="http://schemas.microsoft.com/office/drawing/2014/main" id="{492B0EC1-6E90-0982-95F2-1A16CC462B29}"/>
            </a:ext>
          </a:extLst>
        </xdr:cNvPr>
        <xdr:cNvCxnSpPr/>
      </xdr:nvCxnSpPr>
      <xdr:spPr>
        <a:xfrm flipH="1">
          <a:off x="611505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22</xdr:row>
      <xdr:rowOff>0</xdr:rowOff>
    </xdr:from>
    <xdr:to>
      <xdr:col>16</xdr:col>
      <xdr:colOff>0</xdr:colOff>
      <xdr:row>24</xdr:row>
      <xdr:rowOff>0</xdr:rowOff>
    </xdr:to>
    <xdr:cxnSp macro="">
      <xdr:nvCxnSpPr>
        <xdr:cNvPr id="34831" name="DiagLine15">
          <a:extLst>
            <a:ext uri="{FF2B5EF4-FFF2-40B4-BE49-F238E27FC236}">
              <a16:creationId xmlns:a16="http://schemas.microsoft.com/office/drawing/2014/main" id="{713414B9-CEA0-3C0F-4CBB-3E1A102A55D6}"/>
            </a:ext>
          </a:extLst>
        </xdr:cNvPr>
        <xdr:cNvCxnSpPr/>
      </xdr:nvCxnSpPr>
      <xdr:spPr>
        <a:xfrm flipH="1">
          <a:off x="6553200" y="9810750"/>
          <a:ext cx="438150" cy="34290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22</xdr:row>
      <xdr:rowOff>0</xdr:rowOff>
    </xdr:from>
    <xdr:to>
      <xdr:col>2</xdr:col>
      <xdr:colOff>0</xdr:colOff>
      <xdr:row>24</xdr:row>
      <xdr:rowOff>0</xdr:rowOff>
    </xdr:to>
    <xdr:cxnSp macro="">
      <xdr:nvCxnSpPr>
        <xdr:cNvPr id="2" name="DiagLine1">
          <a:extLst>
            <a:ext uri="{FF2B5EF4-FFF2-40B4-BE49-F238E27FC236}">
              <a16:creationId xmlns:a16="http://schemas.microsoft.com/office/drawing/2014/main" id="{E42BA09E-341B-D37D-D8CA-E93122B4393E}"/>
            </a:ext>
          </a:extLst>
        </xdr:cNvPr>
        <xdr:cNvCxnSpPr/>
      </xdr:nvCxnSpPr>
      <xdr:spPr>
        <a:xfrm flipH="1">
          <a:off x="373380" y="9837420"/>
          <a:ext cx="396240" cy="33528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22</xdr:row>
      <xdr:rowOff>0</xdr:rowOff>
    </xdr:from>
    <xdr:to>
      <xdr:col>3</xdr:col>
      <xdr:colOff>0</xdr:colOff>
      <xdr:row>24</xdr:row>
      <xdr:rowOff>0</xdr:rowOff>
    </xdr:to>
    <xdr:cxnSp macro="">
      <xdr:nvCxnSpPr>
        <xdr:cNvPr id="3" name="DiagLine2">
          <a:extLst>
            <a:ext uri="{FF2B5EF4-FFF2-40B4-BE49-F238E27FC236}">
              <a16:creationId xmlns:a16="http://schemas.microsoft.com/office/drawing/2014/main" id="{A2C92BC6-77EA-7832-B14E-253D459BDDCB}"/>
            </a:ext>
          </a:extLst>
        </xdr:cNvPr>
        <xdr:cNvCxnSpPr/>
      </xdr:nvCxnSpPr>
      <xdr:spPr>
        <a:xfrm flipH="1">
          <a:off x="769620" y="9837420"/>
          <a:ext cx="396240" cy="33528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0</xdr:rowOff>
    </xdr:from>
    <xdr:to>
      <xdr:col>4</xdr:col>
      <xdr:colOff>0</xdr:colOff>
      <xdr:row>24</xdr:row>
      <xdr:rowOff>0</xdr:rowOff>
    </xdr:to>
    <xdr:cxnSp macro="">
      <xdr:nvCxnSpPr>
        <xdr:cNvPr id="4" name="DiagLine3">
          <a:extLst>
            <a:ext uri="{FF2B5EF4-FFF2-40B4-BE49-F238E27FC236}">
              <a16:creationId xmlns:a16="http://schemas.microsoft.com/office/drawing/2014/main" id="{932317C2-EF40-5FC7-F430-84E865CFF8E5}"/>
            </a:ext>
          </a:extLst>
        </xdr:cNvPr>
        <xdr:cNvCxnSpPr/>
      </xdr:nvCxnSpPr>
      <xdr:spPr>
        <a:xfrm flipH="1">
          <a:off x="1165860" y="9837420"/>
          <a:ext cx="396240" cy="33528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22</xdr:row>
      <xdr:rowOff>0</xdr:rowOff>
    </xdr:from>
    <xdr:to>
      <xdr:col>5</xdr:col>
      <xdr:colOff>0</xdr:colOff>
      <xdr:row>24</xdr:row>
      <xdr:rowOff>0</xdr:rowOff>
    </xdr:to>
    <xdr:cxnSp macro="">
      <xdr:nvCxnSpPr>
        <xdr:cNvPr id="5" name="DiagLine4">
          <a:extLst>
            <a:ext uri="{FF2B5EF4-FFF2-40B4-BE49-F238E27FC236}">
              <a16:creationId xmlns:a16="http://schemas.microsoft.com/office/drawing/2014/main" id="{6B49662D-F975-4F59-E2B4-B6C5B5C50E23}"/>
            </a:ext>
          </a:extLst>
        </xdr:cNvPr>
        <xdr:cNvCxnSpPr/>
      </xdr:nvCxnSpPr>
      <xdr:spPr>
        <a:xfrm flipH="1">
          <a:off x="1562100" y="9837420"/>
          <a:ext cx="396240" cy="33528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22</xdr:row>
      <xdr:rowOff>0</xdr:rowOff>
    </xdr:from>
    <xdr:to>
      <xdr:col>6</xdr:col>
      <xdr:colOff>0</xdr:colOff>
      <xdr:row>24</xdr:row>
      <xdr:rowOff>0</xdr:rowOff>
    </xdr:to>
    <xdr:cxnSp macro="">
      <xdr:nvCxnSpPr>
        <xdr:cNvPr id="6" name="DiagLine5">
          <a:extLst>
            <a:ext uri="{FF2B5EF4-FFF2-40B4-BE49-F238E27FC236}">
              <a16:creationId xmlns:a16="http://schemas.microsoft.com/office/drawing/2014/main" id="{B29AFAAA-B8B5-D7FC-ED18-2DB96367C6B1}"/>
            </a:ext>
          </a:extLst>
        </xdr:cNvPr>
        <xdr:cNvCxnSpPr/>
      </xdr:nvCxnSpPr>
      <xdr:spPr>
        <a:xfrm flipH="1">
          <a:off x="1958340" y="9837420"/>
          <a:ext cx="396240" cy="33528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22</xdr:row>
      <xdr:rowOff>0</xdr:rowOff>
    </xdr:from>
    <xdr:to>
      <xdr:col>7</xdr:col>
      <xdr:colOff>0</xdr:colOff>
      <xdr:row>24</xdr:row>
      <xdr:rowOff>0</xdr:rowOff>
    </xdr:to>
    <xdr:cxnSp macro="">
      <xdr:nvCxnSpPr>
        <xdr:cNvPr id="7" name="DiagLine6">
          <a:extLst>
            <a:ext uri="{FF2B5EF4-FFF2-40B4-BE49-F238E27FC236}">
              <a16:creationId xmlns:a16="http://schemas.microsoft.com/office/drawing/2014/main" id="{53476C4E-3375-702C-1A57-35FFCD634A3A}"/>
            </a:ext>
          </a:extLst>
        </xdr:cNvPr>
        <xdr:cNvCxnSpPr/>
      </xdr:nvCxnSpPr>
      <xdr:spPr>
        <a:xfrm flipH="1">
          <a:off x="2354580" y="9837420"/>
          <a:ext cx="396240" cy="33528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22</xdr:row>
      <xdr:rowOff>0</xdr:rowOff>
    </xdr:from>
    <xdr:to>
      <xdr:col>8</xdr:col>
      <xdr:colOff>0</xdr:colOff>
      <xdr:row>24</xdr:row>
      <xdr:rowOff>0</xdr:rowOff>
    </xdr:to>
    <xdr:cxnSp macro="">
      <xdr:nvCxnSpPr>
        <xdr:cNvPr id="8" name="DiagLine7">
          <a:extLst>
            <a:ext uri="{FF2B5EF4-FFF2-40B4-BE49-F238E27FC236}">
              <a16:creationId xmlns:a16="http://schemas.microsoft.com/office/drawing/2014/main" id="{32C01A5D-3245-0592-F9FA-CA79F93A7D31}"/>
            </a:ext>
          </a:extLst>
        </xdr:cNvPr>
        <xdr:cNvCxnSpPr/>
      </xdr:nvCxnSpPr>
      <xdr:spPr>
        <a:xfrm flipH="1">
          <a:off x="2750820" y="9837420"/>
          <a:ext cx="396240" cy="33528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22</xdr:row>
      <xdr:rowOff>0</xdr:rowOff>
    </xdr:from>
    <xdr:to>
      <xdr:col>9</xdr:col>
      <xdr:colOff>0</xdr:colOff>
      <xdr:row>24</xdr:row>
      <xdr:rowOff>0</xdr:rowOff>
    </xdr:to>
    <xdr:cxnSp macro="">
      <xdr:nvCxnSpPr>
        <xdr:cNvPr id="9" name="DiagLine8">
          <a:extLst>
            <a:ext uri="{FF2B5EF4-FFF2-40B4-BE49-F238E27FC236}">
              <a16:creationId xmlns:a16="http://schemas.microsoft.com/office/drawing/2014/main" id="{860855C3-45B9-462F-436E-FE39CB573670}"/>
            </a:ext>
          </a:extLst>
        </xdr:cNvPr>
        <xdr:cNvCxnSpPr/>
      </xdr:nvCxnSpPr>
      <xdr:spPr>
        <a:xfrm flipH="1">
          <a:off x="3147060" y="9837420"/>
          <a:ext cx="396240" cy="33528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22</xdr:row>
      <xdr:rowOff>0</xdr:rowOff>
    </xdr:from>
    <xdr:to>
      <xdr:col>10</xdr:col>
      <xdr:colOff>0</xdr:colOff>
      <xdr:row>24</xdr:row>
      <xdr:rowOff>0</xdr:rowOff>
    </xdr:to>
    <xdr:cxnSp macro="">
      <xdr:nvCxnSpPr>
        <xdr:cNvPr id="10" name="DiagLine9">
          <a:extLst>
            <a:ext uri="{FF2B5EF4-FFF2-40B4-BE49-F238E27FC236}">
              <a16:creationId xmlns:a16="http://schemas.microsoft.com/office/drawing/2014/main" id="{D0D550D2-2C2B-D6F0-32EA-969214617B39}"/>
            </a:ext>
          </a:extLst>
        </xdr:cNvPr>
        <xdr:cNvCxnSpPr/>
      </xdr:nvCxnSpPr>
      <xdr:spPr>
        <a:xfrm flipH="1">
          <a:off x="3543300" y="9837420"/>
          <a:ext cx="396240" cy="33528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22</xdr:row>
      <xdr:rowOff>0</xdr:rowOff>
    </xdr:from>
    <xdr:to>
      <xdr:col>11</xdr:col>
      <xdr:colOff>0</xdr:colOff>
      <xdr:row>24</xdr:row>
      <xdr:rowOff>0</xdr:rowOff>
    </xdr:to>
    <xdr:cxnSp macro="">
      <xdr:nvCxnSpPr>
        <xdr:cNvPr id="11" name="DiagLine10">
          <a:extLst>
            <a:ext uri="{FF2B5EF4-FFF2-40B4-BE49-F238E27FC236}">
              <a16:creationId xmlns:a16="http://schemas.microsoft.com/office/drawing/2014/main" id="{2F7ED745-537A-112F-9719-7E851BB53171}"/>
            </a:ext>
          </a:extLst>
        </xdr:cNvPr>
        <xdr:cNvCxnSpPr/>
      </xdr:nvCxnSpPr>
      <xdr:spPr>
        <a:xfrm flipH="1">
          <a:off x="3939540" y="9837420"/>
          <a:ext cx="396240" cy="33528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22</xdr:row>
      <xdr:rowOff>0</xdr:rowOff>
    </xdr:from>
    <xdr:to>
      <xdr:col>12</xdr:col>
      <xdr:colOff>0</xdr:colOff>
      <xdr:row>24</xdr:row>
      <xdr:rowOff>0</xdr:rowOff>
    </xdr:to>
    <xdr:cxnSp macro="">
      <xdr:nvCxnSpPr>
        <xdr:cNvPr id="12" name="DiagLine11">
          <a:extLst>
            <a:ext uri="{FF2B5EF4-FFF2-40B4-BE49-F238E27FC236}">
              <a16:creationId xmlns:a16="http://schemas.microsoft.com/office/drawing/2014/main" id="{E6CCB2A7-E995-CD5F-9A7B-2E794336A05D}"/>
            </a:ext>
          </a:extLst>
        </xdr:cNvPr>
        <xdr:cNvCxnSpPr/>
      </xdr:nvCxnSpPr>
      <xdr:spPr>
        <a:xfrm flipH="1">
          <a:off x="4335780" y="9837420"/>
          <a:ext cx="396240" cy="33528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22</xdr:row>
      <xdr:rowOff>0</xdr:rowOff>
    </xdr:from>
    <xdr:to>
      <xdr:col>13</xdr:col>
      <xdr:colOff>0</xdr:colOff>
      <xdr:row>24</xdr:row>
      <xdr:rowOff>0</xdr:rowOff>
    </xdr:to>
    <xdr:cxnSp macro="">
      <xdr:nvCxnSpPr>
        <xdr:cNvPr id="13" name="DiagLine12">
          <a:extLst>
            <a:ext uri="{FF2B5EF4-FFF2-40B4-BE49-F238E27FC236}">
              <a16:creationId xmlns:a16="http://schemas.microsoft.com/office/drawing/2014/main" id="{A4766EA1-6188-959D-584D-B9016A5339AE}"/>
            </a:ext>
          </a:extLst>
        </xdr:cNvPr>
        <xdr:cNvCxnSpPr/>
      </xdr:nvCxnSpPr>
      <xdr:spPr>
        <a:xfrm flipH="1">
          <a:off x="4732020" y="9837420"/>
          <a:ext cx="396240" cy="33528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22</xdr:row>
      <xdr:rowOff>0</xdr:rowOff>
    </xdr:from>
    <xdr:to>
      <xdr:col>14</xdr:col>
      <xdr:colOff>0</xdr:colOff>
      <xdr:row>24</xdr:row>
      <xdr:rowOff>0</xdr:rowOff>
    </xdr:to>
    <xdr:cxnSp macro="">
      <xdr:nvCxnSpPr>
        <xdr:cNvPr id="14" name="DiagLine13">
          <a:extLst>
            <a:ext uri="{FF2B5EF4-FFF2-40B4-BE49-F238E27FC236}">
              <a16:creationId xmlns:a16="http://schemas.microsoft.com/office/drawing/2014/main" id="{8B06CF7A-9667-032B-D03F-730B5710EE76}"/>
            </a:ext>
          </a:extLst>
        </xdr:cNvPr>
        <xdr:cNvCxnSpPr/>
      </xdr:nvCxnSpPr>
      <xdr:spPr>
        <a:xfrm flipH="1">
          <a:off x="5128260" y="9837420"/>
          <a:ext cx="396240" cy="33528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22</xdr:row>
      <xdr:rowOff>0</xdr:rowOff>
    </xdr:from>
    <xdr:to>
      <xdr:col>15</xdr:col>
      <xdr:colOff>0</xdr:colOff>
      <xdr:row>24</xdr:row>
      <xdr:rowOff>0</xdr:rowOff>
    </xdr:to>
    <xdr:cxnSp macro="">
      <xdr:nvCxnSpPr>
        <xdr:cNvPr id="15" name="DiagLine14">
          <a:extLst>
            <a:ext uri="{FF2B5EF4-FFF2-40B4-BE49-F238E27FC236}">
              <a16:creationId xmlns:a16="http://schemas.microsoft.com/office/drawing/2014/main" id="{C24E43EE-9906-CA38-C094-46ADBB82489F}"/>
            </a:ext>
          </a:extLst>
        </xdr:cNvPr>
        <xdr:cNvCxnSpPr/>
      </xdr:nvCxnSpPr>
      <xdr:spPr>
        <a:xfrm flipH="1">
          <a:off x="5524500" y="9837420"/>
          <a:ext cx="396240" cy="33528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22</xdr:row>
      <xdr:rowOff>0</xdr:rowOff>
    </xdr:from>
    <xdr:to>
      <xdr:col>16</xdr:col>
      <xdr:colOff>0</xdr:colOff>
      <xdr:row>24</xdr:row>
      <xdr:rowOff>0</xdr:rowOff>
    </xdr:to>
    <xdr:cxnSp macro="">
      <xdr:nvCxnSpPr>
        <xdr:cNvPr id="16" name="DiagLine15">
          <a:extLst>
            <a:ext uri="{FF2B5EF4-FFF2-40B4-BE49-F238E27FC236}">
              <a16:creationId xmlns:a16="http://schemas.microsoft.com/office/drawing/2014/main" id="{625C71E0-3219-C294-6F27-D3BA80D974DB}"/>
            </a:ext>
          </a:extLst>
        </xdr:cNvPr>
        <xdr:cNvCxnSpPr/>
      </xdr:nvCxnSpPr>
      <xdr:spPr>
        <a:xfrm flipH="1">
          <a:off x="5920740" y="9837420"/>
          <a:ext cx="396240" cy="335280"/>
        </a:xfrm>
        <a:prstGeom prst="line">
          <a:avLst/>
        </a:prstGeom>
        <a:ln w="6350">
          <a:solidFill>
            <a:srgbClr val="B4B4B4"/>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17</xdr:col>
          <xdr:colOff>60960</xdr:colOff>
          <xdr:row>3</xdr:row>
          <xdr:rowOff>30480</xdr:rowOff>
        </xdr:from>
        <xdr:to>
          <xdr:col>19</xdr:col>
          <xdr:colOff>0</xdr:colOff>
          <xdr:row>3</xdr:row>
          <xdr:rowOff>335280</xdr:rowOff>
        </xdr:to>
        <xdr:sp macro="" textlink="">
          <xdr:nvSpPr>
            <xdr:cNvPr id="35841" name="Btn_0" hidden="1">
              <a:extLst>
                <a:ext uri="{63B3BB69-23CF-44E3-9099-C40C66FF867C}">
                  <a14:compatExt spid="_x0000_s35841"/>
                </a:ext>
                <a:ext uri="{FF2B5EF4-FFF2-40B4-BE49-F238E27FC236}">
                  <a16:creationId xmlns:a16="http://schemas.microsoft.com/office/drawing/2014/main" id="{72CD2DEE-ED53-E9F6-86C8-482BE1300EC3}"/>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900" b="0" i="0" u="none" strike="noStrike" baseline="0">
                  <a:solidFill>
                    <a:srgbClr val="000000"/>
                  </a:solidFill>
                  <a:latin typeface="メイリオ"/>
                  <a:ea typeface="メイリオ"/>
                </a:rPr>
                <a:t>新しい週を追加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60960</xdr:colOff>
          <xdr:row>3</xdr:row>
          <xdr:rowOff>434340</xdr:rowOff>
        </xdr:from>
        <xdr:to>
          <xdr:col>19</xdr:col>
          <xdr:colOff>0</xdr:colOff>
          <xdr:row>4</xdr:row>
          <xdr:rowOff>45720</xdr:rowOff>
        </xdr:to>
        <xdr:sp macro="" textlink="">
          <xdr:nvSpPr>
            <xdr:cNvPr id="35842" name="Btn_1" hidden="1">
              <a:extLst>
                <a:ext uri="{63B3BB69-23CF-44E3-9099-C40C66FF867C}">
                  <a14:compatExt spid="_x0000_s35842"/>
                </a:ext>
                <a:ext uri="{FF2B5EF4-FFF2-40B4-BE49-F238E27FC236}">
                  <a16:creationId xmlns:a16="http://schemas.microsoft.com/office/drawing/2014/main" id="{414330CE-CF93-4CD2-DC90-B01DE64575BF}"/>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900" b="0" i="0" u="none" strike="noStrike" baseline="0">
                  <a:solidFill>
                    <a:srgbClr val="000000"/>
                  </a:solidFill>
                  <a:latin typeface="メイリオ"/>
                  <a:ea typeface="メイリオ"/>
                </a:rPr>
                <a:t>時間割を再展開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60960</xdr:colOff>
          <xdr:row>4</xdr:row>
          <xdr:rowOff>152400</xdr:rowOff>
        </xdr:from>
        <xdr:to>
          <xdr:col>19</xdr:col>
          <xdr:colOff>0</xdr:colOff>
          <xdr:row>5</xdr:row>
          <xdr:rowOff>228600</xdr:rowOff>
        </xdr:to>
        <xdr:sp macro="" textlink="">
          <xdr:nvSpPr>
            <xdr:cNvPr id="35843" name="Btn_2" hidden="1">
              <a:extLst>
                <a:ext uri="{63B3BB69-23CF-44E3-9099-C40C66FF867C}">
                  <a14:compatExt spid="_x0000_s35843"/>
                </a:ext>
                <a:ext uri="{FF2B5EF4-FFF2-40B4-BE49-F238E27FC236}">
                  <a16:creationId xmlns:a16="http://schemas.microsoft.com/office/drawing/2014/main" id="{62E8D983-3AA8-64F9-9112-CAA45791F60B}"/>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900" b="0" i="0" u="none" strike="noStrike" baseline="0">
                  <a:solidFill>
                    <a:srgbClr val="000000"/>
                  </a:solidFill>
                  <a:latin typeface="メイリオ"/>
                  <a:ea typeface="メイリオ"/>
                </a:rPr>
                <a:t>累計を更新</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trlProp" Target="../ctrlProps/ctrlProp34.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trlProp" Target="../ctrlProps/ctrlProp37.xml"/><Relationship Id="rId5" Type="http://schemas.openxmlformats.org/officeDocument/2006/relationships/ctrlProp" Target="../ctrlProps/ctrlProp36.xml"/><Relationship Id="rId4" Type="http://schemas.openxmlformats.org/officeDocument/2006/relationships/ctrlProp" Target="../ctrlProps/ctrlProp3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trlProp" Target="../ctrlProps/ctrlProp43.xml"/><Relationship Id="rId5" Type="http://schemas.openxmlformats.org/officeDocument/2006/relationships/ctrlProp" Target="../ctrlProps/ctrlProp42.xml"/><Relationship Id="rId4" Type="http://schemas.openxmlformats.org/officeDocument/2006/relationships/ctrlProp" Target="../ctrlProps/ctrlProp41.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trlProp" Target="../ctrlProps/ctrlProp46.xml"/><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trlProp" Target="../ctrlProps/ctrlProp49.xml"/><Relationship Id="rId5" Type="http://schemas.openxmlformats.org/officeDocument/2006/relationships/ctrlProp" Target="../ctrlProps/ctrlProp48.xml"/><Relationship Id="rId4" Type="http://schemas.openxmlformats.org/officeDocument/2006/relationships/ctrlProp" Target="../ctrlProps/ctrlProp4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trlProp" Target="../ctrlProps/ctrlProp52.xml"/><Relationship Id="rId5" Type="http://schemas.openxmlformats.org/officeDocument/2006/relationships/ctrlProp" Target="../ctrlProps/ctrlProp51.xml"/><Relationship Id="rId4" Type="http://schemas.openxmlformats.org/officeDocument/2006/relationships/ctrlProp" Target="../ctrlProps/ctrlProp5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43"/>
  <sheetViews>
    <sheetView workbookViewId="0">
      <selection activeCell="B40" sqref="B40"/>
    </sheetView>
  </sheetViews>
  <sheetFormatPr defaultColWidth="8.77734375" defaultRowHeight="13.2" x14ac:dyDescent="0.2"/>
  <cols>
    <col min="1" max="1" width="18" customWidth="1"/>
    <col min="2" max="2" width="12" customWidth="1"/>
    <col min="3" max="3" width="28" customWidth="1"/>
  </cols>
  <sheetData>
    <row r="1" spans="1:3" ht="16.2" x14ac:dyDescent="0.2">
      <c r="A1" s="27" t="s">
        <v>0</v>
      </c>
      <c r="B1" s="27" t="s">
        <v>1</v>
      </c>
      <c r="C1" s="27" t="s">
        <v>2</v>
      </c>
    </row>
    <row r="2" spans="1:3" ht="16.2" x14ac:dyDescent="0.45">
      <c r="A2" s="28" t="s">
        <v>3</v>
      </c>
      <c r="B2" s="1"/>
      <c r="C2" s="29" t="s">
        <v>4</v>
      </c>
    </row>
    <row r="3" spans="1:3" ht="16.2" x14ac:dyDescent="0.45">
      <c r="A3" s="28" t="s">
        <v>5</v>
      </c>
      <c r="B3" s="1"/>
      <c r="C3" s="29" t="s">
        <v>6</v>
      </c>
    </row>
    <row r="5" spans="1:3" ht="16.2" x14ac:dyDescent="0.45">
      <c r="A5" s="30" t="s">
        <v>7</v>
      </c>
    </row>
    <row r="6" spans="1:3" ht="16.2" x14ac:dyDescent="0.45">
      <c r="A6" s="28" t="s">
        <v>8</v>
      </c>
      <c r="B6" s="2"/>
    </row>
    <row r="7" spans="1:3" ht="16.2" x14ac:dyDescent="0.45">
      <c r="A7" s="28" t="s">
        <v>9</v>
      </c>
      <c r="B7" s="2"/>
    </row>
    <row r="8" spans="1:3" ht="16.2" x14ac:dyDescent="0.45">
      <c r="A8" s="28" t="s">
        <v>10</v>
      </c>
      <c r="B8" s="2"/>
    </row>
    <row r="9" spans="1:3" ht="16.2" x14ac:dyDescent="0.45">
      <c r="A9" s="28" t="s">
        <v>11</v>
      </c>
      <c r="B9" s="2"/>
    </row>
    <row r="10" spans="1:3" ht="16.2" x14ac:dyDescent="0.45">
      <c r="A10" s="28" t="s">
        <v>12</v>
      </c>
      <c r="B10" s="2"/>
    </row>
    <row r="11" spans="1:3" ht="16.2" x14ac:dyDescent="0.45">
      <c r="A11" s="28" t="s">
        <v>13</v>
      </c>
      <c r="B11" s="3"/>
    </row>
    <row r="12" spans="1:3" ht="16.2" x14ac:dyDescent="0.45">
      <c r="A12" s="28" t="s">
        <v>14</v>
      </c>
      <c r="B12" s="3"/>
    </row>
    <row r="13" spans="1:3" ht="16.2" x14ac:dyDescent="0.45">
      <c r="A13" s="28" t="s">
        <v>15</v>
      </c>
      <c r="B13" s="3"/>
    </row>
    <row r="14" spans="1:3" x14ac:dyDescent="0.2">
      <c r="B14" s="3"/>
    </row>
    <row r="15" spans="1:3" ht="16.2" x14ac:dyDescent="0.45">
      <c r="A15" s="30" t="s">
        <v>16</v>
      </c>
    </row>
    <row r="16" spans="1:3" ht="16.2" x14ac:dyDescent="0.45">
      <c r="A16" s="28" t="s">
        <v>17</v>
      </c>
      <c r="B16" s="2"/>
      <c r="C16" s="29"/>
    </row>
    <row r="17" spans="1:3" ht="16.2" x14ac:dyDescent="0.45">
      <c r="A17" s="28" t="s">
        <v>18</v>
      </c>
      <c r="B17" s="2"/>
    </row>
    <row r="18" spans="1:3" ht="16.2" x14ac:dyDescent="0.45">
      <c r="A18" s="28" t="s">
        <v>19</v>
      </c>
      <c r="B18" s="2"/>
    </row>
    <row r="19" spans="1:3" ht="16.2" x14ac:dyDescent="0.45">
      <c r="A19" s="28" t="s">
        <v>21</v>
      </c>
      <c r="B19" s="3"/>
    </row>
    <row r="20" spans="1:3" ht="16.2" x14ac:dyDescent="0.45">
      <c r="A20" s="28" t="s">
        <v>23</v>
      </c>
      <c r="B20" s="3"/>
    </row>
    <row r="22" spans="1:3" ht="16.2" x14ac:dyDescent="0.45">
      <c r="A22" s="30" t="s">
        <v>24</v>
      </c>
      <c r="C22" s="29" t="s">
        <v>25</v>
      </c>
    </row>
    <row r="23" spans="1:3" ht="16.2" x14ac:dyDescent="0.45">
      <c r="A23" s="31">
        <f t="shared" ref="A23:A30" si="0">IF(B6="","",B6)</f>
      </c>
      <c r="B23" s="4"/>
    </row>
    <row r="24" spans="1:3" ht="16.2" x14ac:dyDescent="0.45">
      <c r="A24" s="31">
        <f t="shared" si="0"/>
      </c>
      <c r="B24" s="4"/>
    </row>
    <row r="25" spans="1:3" ht="16.2" x14ac:dyDescent="0.45">
      <c r="A25" s="31">
        <f t="shared" si="0"/>
      </c>
      <c r="B25" s="4"/>
    </row>
    <row r="26" spans="1:3" ht="16.2" x14ac:dyDescent="0.45">
      <c r="A26" s="31">
        <f t="shared" si="0"/>
      </c>
      <c r="B26" s="4"/>
    </row>
    <row r="27" spans="1:3" ht="16.2" x14ac:dyDescent="0.45">
      <c r="A27" s="31">
        <f t="shared" si="0"/>
      </c>
      <c r="B27" s="4"/>
    </row>
    <row r="28" spans="1:3" ht="16.2" x14ac:dyDescent="0.45">
      <c r="A28" s="31">
        <f t="shared" si="0"/>
      </c>
      <c r="B28" s="4"/>
      <c r="C28" s="29"/>
    </row>
    <row r="29" spans="1:3" ht="16.2" x14ac:dyDescent="0.45">
      <c r="A29" s="31">
        <f t="shared" si="0"/>
        <v/>
      </c>
      <c r="B29" s="4"/>
    </row>
    <row r="30" spans="1:3" ht="16.2" x14ac:dyDescent="0.45">
      <c r="A30" s="31">
        <f t="shared" si="0"/>
        <v/>
      </c>
      <c r="B30" s="4"/>
    </row>
    <row r="31" spans="1:3" ht="16.2" x14ac:dyDescent="0.45">
      <c r="A31" s="31">
        <f>IF(B16="","",B16)</f>
      </c>
      <c r="B31" s="4"/>
    </row>
    <row r="32" spans="1:3" ht="16.2" x14ac:dyDescent="0.45">
      <c r="A32" s="31">
        <f>IF(B17="","",B17)</f>
      </c>
      <c r="B32" s="4"/>
    </row>
    <row r="33" spans="1:3" ht="16.2" x14ac:dyDescent="0.45">
      <c r="A33" s="31">
        <f>IF(B18="","",B18)</f>
      </c>
      <c r="B33" s="4"/>
    </row>
    <row r="34" spans="1:3" ht="16.2" x14ac:dyDescent="0.45">
      <c r="A34" s="31">
        <f>IF(B19="","",B19)</f>
      </c>
      <c r="B34" s="4"/>
    </row>
    <row r="35" spans="1:3" ht="16.2" x14ac:dyDescent="0.45">
      <c r="A35" s="31">
        <f>IF(B20="","",B20)</f>
        <v/>
      </c>
      <c r="B35" s="4"/>
      <c r="C35" s="29" t="s">
        <v>26</v>
      </c>
    </row>
    <row r="37" spans="1:3" ht="16.2" x14ac:dyDescent="0.45">
      <c r="A37" s="30" t="s">
        <v>54</v>
      </c>
    </row>
    <row r="38" spans="1:3" ht="16.2" x14ac:dyDescent="0.45">
      <c r="A38" s="28" t="s">
        <v>55</v>
      </c>
      <c r="B38" s="2"/>
    </row>
    <row r="39" spans="1:3" ht="16.2" x14ac:dyDescent="0.45">
      <c r="A39" s="28" t="s">
        <v>56</v>
      </c>
      <c r="B39" s="2"/>
    </row>
    <row r="40" spans="1:3" ht="16.2" x14ac:dyDescent="0.45">
      <c r="A40" s="28" t="s">
        <v>57</v>
      </c>
      <c r="B40" s="2"/>
    </row>
    <row r="41" spans="1:3" ht="16.2" x14ac:dyDescent="0.45">
      <c r="A41" s="28" t="s">
        <v>58</v>
      </c>
      <c r="B41" s="2"/>
    </row>
    <row r="42" spans="1:3" ht="16.2" x14ac:dyDescent="0.45">
      <c r="A42" s="28" t="s">
        <v>59</v>
      </c>
      <c r="B42" s="2"/>
    </row>
    <row r="43" spans="1:3" ht="16.2" x14ac:dyDescent="0.45">
      <c r="A43" s="28" t="s">
        <v>60</v>
      </c>
      <c r="B43" s="2"/>
    </row>
  </sheetData>
  <sheetProtection sheet="1" objects="1" scenarios="1"/>
  <phoneticPr fontId="5"/>
  <dataValidations count="6">
    <dataValidation allowBlank="1" showInputMessage="1" showErrorMessage="1" promptTitle="入力例" prompt="「月/日」の形式で入力してください。_x000a_例: 7/18" sqref="B38" xr:uid="{D7D6189C-EC09-47E2-A4B8-F28DF25A7205}"/>
    <dataValidation allowBlank="1" showInputMessage="1" showErrorMessage="1" promptTitle="入力例" prompt="「月/日」の形式で入力してください。_x000a_例: 8/31" sqref="B39" xr:uid="{8AE328A4-AD23-43D4-9661-04E56A3E017C}"/>
    <dataValidation allowBlank="1" showInputMessage="1" showErrorMessage="1" promptTitle="入力例" prompt="「月/日」の形式で入力してください。_x000a_例: 12/25" sqref="B40" xr:uid="{758F7508-3635-4154-9B7F-2CE2360DAF6B}"/>
    <dataValidation allowBlank="1" showInputMessage="1" showErrorMessage="1" promptTitle="入力例" prompt="「月/日」の形式で入力してください。_x000a_例: 1/6" sqref="B41" xr:uid="{D16518BA-1E02-4D05-B6DD-DE6A88C355C2}"/>
    <dataValidation allowBlank="1" showInputMessage="1" showErrorMessage="1" promptTitle="入力例" prompt="「月/日」の形式で入力してください。_x000a_例: 3/25" sqref="B42" xr:uid="{733B4566-6B69-402E-8BD3-B81B1CFC6097}"/>
    <dataValidation allowBlank="1" showInputMessage="1" showErrorMessage="1" promptTitle="入力例" prompt="「月/日」の形式で入力してください。_x000a_例: 4/6" sqref="B43" xr:uid="{4C1A51F5-C45C-492B-9A5A-8520D3D25E70}"/>
  </dataValidations>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2049" r:id="rId3" name="BtnSetup">
              <controlPr defaultSize="0" print="0" autoFill="0" autoPict="0" macro="[0]!ボタン_設定完了">
                <anchor moveWithCells="1" sizeWithCells="1">
                  <from>
                    <xdr:col>4</xdr:col>
                    <xdr:colOff>99060</xdr:colOff>
                    <xdr:row>33</xdr:row>
                    <xdr:rowOff>114300</xdr:rowOff>
                  </from>
                  <to>
                    <xdr:col>6</xdr:col>
                    <xdr:colOff>441960</xdr:colOff>
                    <xdr:row>34</xdr:row>
                    <xdr:rowOff>190500</xdr:rowOff>
                  </to>
                </anchor>
              </controlPr>
            </control>
          </mc:Choice>
        </mc:AlternateContent>
        <mc:AlternateContent xmlns:mc="http://schemas.openxmlformats.org/markup-compatibility/2006">
          <mc:Choice Requires="x14">
            <control shapeId="2127" r:id="rId4" name="Auto_0">
              <controlPr defaultSize="0" print="0" autoFill="0" autoPict="0" macro="[0]!ボタン_新しい週">
                <anchor moveWithCells="1" sizeWithCells="1">
                  <from>
                    <xdr:col>4</xdr:col>
                    <xdr:colOff>68580</xdr:colOff>
                    <xdr:row>1</xdr:row>
                    <xdr:rowOff>30480</xdr:rowOff>
                  </from>
                  <to>
                    <xdr:col>6</xdr:col>
                    <xdr:colOff>388620</xdr:colOff>
                    <xdr:row>2</xdr:row>
                    <xdr:rowOff>106680</xdr:rowOff>
                  </to>
                </anchor>
              </controlPr>
            </control>
          </mc:Choice>
        </mc:AlternateContent>
        <mc:AlternateContent xmlns:mc="http://schemas.openxmlformats.org/markup-compatibility/2006">
          <mc:Choice Requires="x14">
            <control shapeId="2128" r:id="rId5" name="Auto_1">
              <controlPr defaultSize="0" print="0" autoFill="0" autoPict="0" macro="[0]!ボタン_1学期PDF">
                <anchor moveWithCells="1" sizeWithCells="1">
                  <from>
                    <xdr:col>4</xdr:col>
                    <xdr:colOff>68580</xdr:colOff>
                    <xdr:row>3</xdr:row>
                    <xdr:rowOff>38100</xdr:rowOff>
                  </from>
                  <to>
                    <xdr:col>6</xdr:col>
                    <xdr:colOff>388620</xdr:colOff>
                    <xdr:row>4</xdr:row>
                    <xdr:rowOff>152400</xdr:rowOff>
                  </to>
                </anchor>
              </controlPr>
            </control>
          </mc:Choice>
        </mc:AlternateContent>
        <mc:AlternateContent xmlns:mc="http://schemas.openxmlformats.org/markup-compatibility/2006">
          <mc:Choice Requires="x14">
            <control shapeId="2129" r:id="rId6" name="Auto_2">
              <controlPr defaultSize="0" print="0" autoFill="0" autoPict="0" macro="[0]!ボタン_2学期PDF">
                <anchor moveWithCells="1" sizeWithCells="1">
                  <from>
                    <xdr:col>4</xdr:col>
                    <xdr:colOff>68580</xdr:colOff>
                    <xdr:row>5</xdr:row>
                    <xdr:rowOff>38100</xdr:rowOff>
                  </from>
                  <to>
                    <xdr:col>6</xdr:col>
                    <xdr:colOff>388620</xdr:colOff>
                    <xdr:row>6</xdr:row>
                    <xdr:rowOff>106680</xdr:rowOff>
                  </to>
                </anchor>
              </controlPr>
            </control>
          </mc:Choice>
        </mc:AlternateContent>
        <mc:AlternateContent xmlns:mc="http://schemas.openxmlformats.org/markup-compatibility/2006">
          <mc:Choice Requires="x14">
            <control shapeId="2130" r:id="rId7" name="Auto_3">
              <controlPr defaultSize="0" print="0" autoFill="0" autoPict="0" macro="[0]!ボタン_3学期PDF">
                <anchor moveWithCells="1" sizeWithCells="1">
                  <from>
                    <xdr:col>4</xdr:col>
                    <xdr:colOff>68580</xdr:colOff>
                    <xdr:row>7</xdr:row>
                    <xdr:rowOff>30480</xdr:rowOff>
                  </from>
                  <to>
                    <xdr:col>6</xdr:col>
                    <xdr:colOff>388620</xdr:colOff>
                    <xdr:row>8</xdr:row>
                    <xdr:rowOff>106680</xdr:rowOff>
                  </to>
                </anchor>
              </controlPr>
            </control>
          </mc:Choice>
        </mc:AlternateContent>
        <mc:AlternateContent xmlns:mc="http://schemas.openxmlformats.org/markup-compatibility/2006">
          <mc:Choice Requires="x14">
            <control shapeId="2131" r:id="rId8" name="Auto_4">
              <controlPr defaultSize="0" print="0" autoFill="0" autoPict="0" macro="[0]!ボタン_次年度">
                <anchor moveWithCells="1" sizeWithCells="1">
                  <from>
                    <xdr:col>4</xdr:col>
                    <xdr:colOff>68580</xdr:colOff>
                    <xdr:row>9</xdr:row>
                    <xdr:rowOff>38100</xdr:rowOff>
                  </from>
                  <to>
                    <xdr:col>6</xdr:col>
                    <xdr:colOff>388620</xdr:colOff>
                    <xdr:row>10</xdr:row>
                    <xdr:rowOff>114300</xdr:rowOff>
                  </to>
                </anchor>
              </controlPr>
            </control>
          </mc:Choice>
        </mc:AlternateContent>
        <mc:AlternateContent xmlns:mc="http://schemas.openxmlformats.org/markup-compatibility/2006">
          <mc:Choice Requires="x14">
            <control shapeId="2132" r:id="rId9" name="Auto_5">
              <controlPr defaultSize="0" print="0" autoFill="0" autoPict="0" macro="[0]!ボタン_旧ファイル移行">
                <anchor moveWithCells="1" sizeWithCells="1">
                  <from>
                    <xdr:col>4</xdr:col>
                    <xdr:colOff>68580</xdr:colOff>
                    <xdr:row>11</xdr:row>
                    <xdr:rowOff>30480</xdr:rowOff>
                  </from>
                  <to>
                    <xdr:col>6</xdr:col>
                    <xdr:colOff>388620</xdr:colOff>
                    <xdr:row>12</xdr:row>
                    <xdr:rowOff>106680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49D483-9144-4B6A-8301-12526A8D9CC6}">
  <sheetPr codeName="Sheet2">
    <tabColor rgb="FF1E8449"/>
  </sheetPr>
  <dimension ref="A1:F9"/>
  <sheetViews>
    <sheetView workbookViewId="0">
      <selection activeCell="F16" sqref="F16"/>
    </sheetView>
  </sheetViews>
  <sheetFormatPr defaultColWidth="8.77734375" defaultRowHeight="13.2" x14ac:dyDescent="0.2"/>
  <cols>
    <col min="1" max="1" width="6.6640625" customWidth="1"/>
    <col min="2" max="6" width="10.6640625" customWidth="1"/>
  </cols>
  <sheetData>
    <row r="1" spans="1:6" ht="18" customHeight="1" x14ac:dyDescent="0.2">
      <c r="A1" s="32" t="s">
        <v>27</v>
      </c>
      <c r="B1" s="33"/>
      <c r="C1" s="33"/>
      <c r="D1" s="33"/>
      <c r="E1" s="33"/>
      <c r="F1" s="33"/>
    </row>
    <row r="2" spans="1:6" ht="20.100000000000001" customHeight="1" x14ac:dyDescent="0.45">
      <c r="A2" s="5" t="s">
        <v>28</v>
      </c>
      <c r="B2" s="5" t="s">
        <v>29</v>
      </c>
      <c r="C2" s="5" t="s">
        <v>30</v>
      </c>
      <c r="D2" s="5" t="s">
        <v>31</v>
      </c>
      <c r="E2" s="5" t="s">
        <v>32</v>
      </c>
      <c r="F2" s="5" t="s">
        <v>33</v>
      </c>
    </row>
    <row r="3" spans="1:6" ht="21.9" customHeight="1" x14ac:dyDescent="0.45">
      <c r="A3" s="6">
        <v>1</v>
      </c>
      <c r="B3" s="7"/>
      <c r="C3" s="7"/>
      <c r="D3" s="7"/>
      <c r="E3" s="7"/>
      <c r="F3" s="7"/>
    </row>
    <row r="4" spans="1:6" ht="21.9" customHeight="1" x14ac:dyDescent="0.45">
      <c r="A4" s="6">
        <v>2</v>
      </c>
      <c r="B4" s="7"/>
      <c r="C4" s="7"/>
      <c r="D4" s="7"/>
      <c r="E4" s="7"/>
      <c r="F4" s="7"/>
    </row>
    <row r="5" spans="1:6" ht="21.9" customHeight="1" x14ac:dyDescent="0.45">
      <c r="A5" s="6">
        <v>3</v>
      </c>
      <c r="B5" s="7"/>
      <c r="C5" s="7"/>
      <c r="D5" s="7"/>
      <c r="E5" s="7"/>
      <c r="F5" s="7"/>
    </row>
    <row r="6" spans="1:6" ht="21.9" customHeight="1" x14ac:dyDescent="0.45">
      <c r="A6" s="6">
        <v>4</v>
      </c>
      <c r="B6" s="7"/>
      <c r="C6" s="7"/>
      <c r="D6" s="7"/>
      <c r="E6" s="7"/>
      <c r="F6" s="7"/>
    </row>
    <row r="7" spans="1:6" ht="21.9" customHeight="1" x14ac:dyDescent="0.45">
      <c r="A7" s="6">
        <v>5</v>
      </c>
      <c r="B7" s="7"/>
      <c r="C7" s="7"/>
      <c r="D7" s="7"/>
      <c r="E7" s="7"/>
      <c r="F7" s="7"/>
    </row>
    <row r="8" spans="1:6" ht="21.9" customHeight="1" x14ac:dyDescent="0.45">
      <c r="A8" s="6">
        <v>6</v>
      </c>
      <c r="B8" s="7"/>
      <c r="C8" s="7"/>
      <c r="D8" s="7"/>
      <c r="E8" s="7"/>
      <c r="F8" s="7"/>
    </row>
    <row r="9" spans="1:6" ht="21.9" customHeight="1" x14ac:dyDescent="0.45">
      <c r="A9" s="6">
        <v>7</v>
      </c>
      <c r="B9" s="7"/>
      <c r="C9" s="7"/>
      <c r="D9" s="7"/>
      <c r="E9" s="7"/>
      <c r="F9" s="7"/>
    </row>
  </sheetData>
  <sheetProtection sheet="1" objects="1" scenarios="1"/>
  <mergeCells count="1">
    <mergeCell ref="A1:F1"/>
  </mergeCells>
  <phoneticPr fontId="5"/>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xr:uid="{78DC33C7-AC46-44E2-9417-B3E6014DF859}">
          <x14:formula1>
            <xm:f>基本設定!$B$6:$B$20</xm:f>
          </x14:formula1>
          <xm:sqref>B3:F9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69E4B6-B911-4573-B9ED-E73FCE22F7A6}">
  <sheetPr codeName="Sheet3">
    <tabColor rgb="FFC0392B"/>
    <pageSetUpPr fitToPage="1"/>
  </sheetPr>
  <dimension ref="A1:P25"/>
  <sheetViews>
    <sheetView workbookViewId="0">
      <selection sqref="A1:G1"/>
    </sheetView>
  </sheetViews>
  <sheetFormatPr defaultColWidth="8.77734375" defaultRowHeight="13.2" x14ac:dyDescent="0.2"/>
  <cols>
    <col min="1" max="1" width="5.44140625" customWidth="1"/>
    <col min="2" max="16" width="5.77734375" customWidth="1"/>
  </cols>
  <sheetData>
    <row r="1" spans="1:16" ht="50.1" customHeight="1" x14ac:dyDescent="0.2">
      <c r="A1" s="51" t="s">
        <v>34</v>
      </c>
      <c r="B1" s="52"/>
      <c r="C1" s="52"/>
      <c r="D1" s="52"/>
      <c r="E1" s="52"/>
      <c r="F1" s="52"/>
      <c r="G1" s="52"/>
      <c r="H1" s="8" t="s">
        <v>35</v>
      </c>
      <c r="I1" s="53" t="s">
        <v>36</v>
      </c>
      <c r="J1" s="54"/>
      <c r="K1" s="53" t="s">
        <v>37</v>
      </c>
      <c r="L1" s="54"/>
      <c r="M1" s="53" t="s">
        <v>38</v>
      </c>
      <c r="N1" s="54"/>
      <c r="O1" s="53" t="s">
        <v>39</v>
      </c>
      <c r="P1" s="54"/>
    </row>
    <row r="2" spans="1:16" ht="15.6" customHeight="1" x14ac:dyDescent="0.2">
      <c r="A2" s="55" t="s">
        <v>40</v>
      </c>
      <c r="B2" s="57" t="s">
        <v>29</v>
      </c>
      <c r="C2" s="57"/>
      <c r="D2" s="57"/>
      <c r="E2" s="59" t="s">
        <v>30</v>
      </c>
      <c r="F2" s="59"/>
      <c r="G2" s="59"/>
      <c r="H2" s="45" t="s">
        <v>31</v>
      </c>
      <c r="I2" s="45"/>
      <c r="J2" s="45"/>
      <c r="K2" s="47" t="s">
        <v>32</v>
      </c>
      <c r="L2" s="47"/>
      <c r="M2" s="47"/>
      <c r="N2" s="49" t="s">
        <v>33</v>
      </c>
      <c r="O2" s="49"/>
      <c r="P2" s="49"/>
    </row>
    <row r="3" spans="1:16" ht="15" customHeight="1" x14ac:dyDescent="0.2">
      <c r="A3" s="56"/>
      <c r="B3" s="58" t="s">
        <v>41</v>
      </c>
      <c r="C3" s="58"/>
      <c r="D3" s="58"/>
      <c r="E3" s="60" t="s">
        <v>42</v>
      </c>
      <c r="F3" s="60"/>
      <c r="G3" s="60"/>
      <c r="H3" s="46" t="s">
        <v>43</v>
      </c>
      <c r="I3" s="46"/>
      <c r="J3" s="46"/>
      <c r="K3" s="48" t="s">
        <v>44</v>
      </c>
      <c r="L3" s="48"/>
      <c r="M3" s="48"/>
      <c r="N3" s="50" t="s">
        <v>45</v>
      </c>
      <c r="O3" s="50"/>
      <c r="P3" s="50"/>
    </row>
    <row r="4" spans="1:16" ht="54.9" customHeight="1" x14ac:dyDescent="0.2">
      <c r="A4" s="9" t="s">
        <v>46</v>
      </c>
      <c r="B4" s="40"/>
      <c r="C4" s="40"/>
      <c r="D4" s="40"/>
      <c r="E4" s="41"/>
      <c r="F4" s="41"/>
      <c r="G4" s="41"/>
      <c r="H4" s="42"/>
      <c r="I4" s="42"/>
      <c r="J4" s="42"/>
      <c r="K4" s="43"/>
      <c r="L4" s="43"/>
      <c r="M4" s="43"/>
      <c r="N4" s="44"/>
      <c r="O4" s="44"/>
      <c r="P4" s="44"/>
    </row>
    <row r="5" spans="1:16" ht="18" customHeight="1" x14ac:dyDescent="0.2">
      <c r="A5" s="39">
        <v>1</v>
      </c>
      <c r="B5" s="37"/>
      <c r="C5" s="37"/>
      <c r="D5" s="25"/>
      <c r="E5" s="37"/>
      <c r="F5" s="37"/>
      <c r="G5" s="25"/>
      <c r="H5" s="37"/>
      <c r="I5" s="37"/>
      <c r="J5" s="25"/>
      <c r="K5" s="37"/>
      <c r="L5" s="37"/>
      <c r="M5" s="25"/>
      <c r="N5" s="37"/>
      <c r="O5" s="37"/>
      <c r="P5" s="25"/>
    </row>
    <row r="6" spans="1:16" ht="62.1" customHeight="1" x14ac:dyDescent="0.2">
      <c r="A6" s="39"/>
      <c r="B6" s="38"/>
      <c r="C6" s="38"/>
      <c r="D6" s="38"/>
      <c r="E6" s="38"/>
      <c r="F6" s="38"/>
      <c r="G6" s="38"/>
      <c r="H6" s="38"/>
      <c r="I6" s="38"/>
      <c r="J6" s="38"/>
      <c r="K6" s="38"/>
      <c r="L6" s="38"/>
      <c r="M6" s="38"/>
      <c r="N6" s="38"/>
      <c r="O6" s="38"/>
      <c r="P6" s="38"/>
    </row>
    <row r="7" spans="1:16" ht="18" customHeight="1" x14ac:dyDescent="0.2">
      <c r="A7" s="39">
        <v>2</v>
      </c>
      <c r="B7" s="37"/>
      <c r="C7" s="37"/>
      <c r="D7" s="25"/>
      <c r="E7" s="37"/>
      <c r="F7" s="37"/>
      <c r="G7" s="25"/>
      <c r="H7" s="37"/>
      <c r="I7" s="37"/>
      <c r="J7" s="25"/>
      <c r="K7" s="37"/>
      <c r="L7" s="37"/>
      <c r="M7" s="25"/>
      <c r="N7" s="37"/>
      <c r="O7" s="37"/>
      <c r="P7" s="25"/>
    </row>
    <row r="8" spans="1:16" ht="62.1" customHeight="1" x14ac:dyDescent="0.2">
      <c r="A8" s="39"/>
      <c r="B8" s="38"/>
      <c r="C8" s="38"/>
      <c r="D8" s="38"/>
      <c r="E8" s="38"/>
      <c r="F8" s="38"/>
      <c r="G8" s="38"/>
      <c r="H8" s="38"/>
      <c r="I8" s="38"/>
      <c r="J8" s="38"/>
      <c r="K8" s="38"/>
      <c r="L8" s="38"/>
      <c r="M8" s="38"/>
      <c r="N8" s="38"/>
      <c r="O8" s="38"/>
      <c r="P8" s="38"/>
    </row>
    <row r="9" spans="1:16" ht="18" customHeight="1" x14ac:dyDescent="0.2">
      <c r="A9" s="39">
        <v>3</v>
      </c>
      <c r="B9" s="37"/>
      <c r="C9" s="37"/>
      <c r="D9" s="25"/>
      <c r="E9" s="37"/>
      <c r="F9" s="37"/>
      <c r="G9" s="25"/>
      <c r="H9" s="37"/>
      <c r="I9" s="37"/>
      <c r="J9" s="25"/>
      <c r="K9" s="37"/>
      <c r="L9" s="37"/>
      <c r="M9" s="25"/>
      <c r="N9" s="37"/>
      <c r="O9" s="37"/>
      <c r="P9" s="25"/>
    </row>
    <row r="10" spans="1:16" ht="62.1" customHeight="1" x14ac:dyDescent="0.2">
      <c r="A10" s="39"/>
      <c r="B10" s="38"/>
      <c r="C10" s="38"/>
      <c r="D10" s="38"/>
      <c r="E10" s="38"/>
      <c r="F10" s="38"/>
      <c r="G10" s="38"/>
      <c r="H10" s="38"/>
      <c r="I10" s="38"/>
      <c r="J10" s="38"/>
      <c r="K10" s="38"/>
      <c r="L10" s="38"/>
      <c r="M10" s="38"/>
      <c r="N10" s="38"/>
      <c r="O10" s="38"/>
      <c r="P10" s="38"/>
    </row>
    <row r="11" spans="1:16" ht="18" customHeight="1" x14ac:dyDescent="0.2">
      <c r="A11" s="39">
        <v>4</v>
      </c>
      <c r="B11" s="37"/>
      <c r="C11" s="37"/>
      <c r="D11" s="25"/>
      <c r="E11" s="37"/>
      <c r="F11" s="37"/>
      <c r="G11" s="25"/>
      <c r="H11" s="37"/>
      <c r="I11" s="37"/>
      <c r="J11" s="25"/>
      <c r="K11" s="37"/>
      <c r="L11" s="37"/>
      <c r="M11" s="25"/>
      <c r="N11" s="37"/>
      <c r="O11" s="37"/>
      <c r="P11" s="25"/>
    </row>
    <row r="12" spans="1:16" ht="62.1" customHeight="1" x14ac:dyDescent="0.2">
      <c r="A12" s="39"/>
      <c r="B12" s="38"/>
      <c r="C12" s="38"/>
      <c r="D12" s="38"/>
      <c r="E12" s="38"/>
      <c r="F12" s="38"/>
      <c r="G12" s="38"/>
      <c r="H12" s="38"/>
      <c r="I12" s="38"/>
      <c r="J12" s="38"/>
      <c r="K12" s="38"/>
      <c r="L12" s="38"/>
      <c r="M12" s="38"/>
      <c r="N12" s="38"/>
      <c r="O12" s="38"/>
      <c r="P12" s="38"/>
    </row>
    <row r="13" spans="1:16" ht="18" customHeight="1" x14ac:dyDescent="0.2">
      <c r="A13" s="39">
        <v>5</v>
      </c>
      <c r="B13" s="37"/>
      <c r="C13" s="37"/>
      <c r="D13" s="25"/>
      <c r="E13" s="37"/>
      <c r="F13" s="37"/>
      <c r="G13" s="25"/>
      <c r="H13" s="37"/>
      <c r="I13" s="37"/>
      <c r="J13" s="25"/>
      <c r="K13" s="37"/>
      <c r="L13" s="37"/>
      <c r="M13" s="25"/>
      <c r="N13" s="37"/>
      <c r="O13" s="37"/>
      <c r="P13" s="25"/>
    </row>
    <row r="14" spans="1:16" ht="62.1" customHeight="1" x14ac:dyDescent="0.2">
      <c r="A14" s="39"/>
      <c r="B14" s="38"/>
      <c r="C14" s="38"/>
      <c r="D14" s="38"/>
      <c r="E14" s="38"/>
      <c r="F14" s="38"/>
      <c r="G14" s="38"/>
      <c r="H14" s="38"/>
      <c r="I14" s="38"/>
      <c r="J14" s="38"/>
      <c r="K14" s="38"/>
      <c r="L14" s="38"/>
      <c r="M14" s="38"/>
      <c r="N14" s="38"/>
      <c r="O14" s="38"/>
      <c r="P14" s="38"/>
    </row>
    <row r="15" spans="1:16" ht="18" customHeight="1" x14ac:dyDescent="0.2">
      <c r="A15" s="39">
        <v>6</v>
      </c>
      <c r="B15" s="37"/>
      <c r="C15" s="37"/>
      <c r="D15" s="25"/>
      <c r="E15" s="37"/>
      <c r="F15" s="37"/>
      <c r="G15" s="25"/>
      <c r="H15" s="37"/>
      <c r="I15" s="37"/>
      <c r="J15" s="25"/>
      <c r="K15" s="37"/>
      <c r="L15" s="37"/>
      <c r="M15" s="25"/>
      <c r="N15" s="37"/>
      <c r="O15" s="37"/>
      <c r="P15" s="25"/>
    </row>
    <row r="16" spans="1:16" ht="62.1" customHeight="1" x14ac:dyDescent="0.2">
      <c r="A16" s="39"/>
      <c r="B16" s="38"/>
      <c r="C16" s="38"/>
      <c r="D16" s="38"/>
      <c r="E16" s="38"/>
      <c r="F16" s="38"/>
      <c r="G16" s="38"/>
      <c r="H16" s="38"/>
      <c r="I16" s="38"/>
      <c r="J16" s="38"/>
      <c r="K16" s="38"/>
      <c r="L16" s="38"/>
      <c r="M16" s="38"/>
      <c r="N16" s="38"/>
      <c r="O16" s="38"/>
      <c r="P16" s="38"/>
    </row>
    <row r="17" spans="1:16" ht="18" customHeight="1" x14ac:dyDescent="0.2">
      <c r="A17" s="39">
        <v>7</v>
      </c>
      <c r="B17" s="37"/>
      <c r="C17" s="37"/>
      <c r="D17" s="25"/>
      <c r="E17" s="37"/>
      <c r="F17" s="37"/>
      <c r="G17" s="25"/>
      <c r="H17" s="37"/>
      <c r="I17" s="37"/>
      <c r="J17" s="25"/>
      <c r="K17" s="37"/>
      <c r="L17" s="37"/>
      <c r="M17" s="25"/>
      <c r="N17" s="37"/>
      <c r="O17" s="37"/>
      <c r="P17" s="25"/>
    </row>
    <row r="18" spans="1:16" ht="62.1" customHeight="1" x14ac:dyDescent="0.2">
      <c r="A18" s="39"/>
      <c r="B18" s="38"/>
      <c r="C18" s="38"/>
      <c r="D18" s="38"/>
      <c r="E18" s="38"/>
      <c r="F18" s="38"/>
      <c r="G18" s="38"/>
      <c r="H18" s="38"/>
      <c r="I18" s="38"/>
      <c r="J18" s="38"/>
      <c r="K18" s="38"/>
      <c r="L18" s="38"/>
      <c r="M18" s="38"/>
      <c r="N18" s="38"/>
      <c r="O18" s="38"/>
      <c r="P18" s="38"/>
    </row>
    <row r="19" spans="1:16" ht="54.9" customHeight="1" x14ac:dyDescent="0.2">
      <c r="A19" s="10" t="s">
        <v>47</v>
      </c>
      <c r="B19" s="34"/>
      <c r="C19" s="34"/>
      <c r="D19" s="34"/>
      <c r="E19" s="34"/>
      <c r="F19" s="34"/>
      <c r="G19" s="34"/>
      <c r="H19" s="34"/>
      <c r="I19" s="34"/>
      <c r="J19" s="34"/>
      <c r="K19" s="34"/>
      <c r="L19" s="34"/>
      <c r="M19" s="34"/>
      <c r="N19" s="34"/>
      <c r="O19" s="34"/>
      <c r="P19" s="34"/>
    </row>
    <row r="20" spans="1:16" hidden="1" x14ac:dyDescent="0.2">
      <c r="A20" s="11"/>
      <c r="B20" s="11"/>
      <c r="C20" s="11"/>
      <c r="D20" s="11"/>
      <c r="E20" s="11"/>
      <c r="F20" s="11"/>
      <c r="G20" s="11"/>
      <c r="H20" s="11"/>
      <c r="I20" s="11"/>
      <c r="J20" s="11"/>
      <c r="K20" s="11"/>
      <c r="L20" s="11"/>
      <c r="M20" s="11"/>
      <c r="N20" s="11"/>
      <c r="O20" s="11"/>
      <c r="P20" s="11"/>
    </row>
    <row r="21" spans="1:16" ht="13.5" customHeight="1" x14ac:dyDescent="0.2">
      <c r="A21" s="12" t="s">
        <v>48</v>
      </c>
      <c r="B21" s="12">
        <f>IF(基本設定!B6="","",基本設定!B6)</f>
      </c>
      <c r="C21" s="12">
        <f>IF(基本設定!B7="","",基本設定!B7)</f>
      </c>
      <c r="D21" s="12">
        <f>IF(基本設定!B8="","",基本設定!B8)</f>
      </c>
      <c r="E21" s="12">
        <f>IF(基本設定!B9="","",基本設定!B9)</f>
      </c>
      <c r="F21" s="12">
        <f>IF(基本設定!B10="","",基本設定!B10)</f>
      </c>
      <c r="G21" s="12">
        <f>IF(基本設定!B11="","",基本設定!B11)</f>
      </c>
      <c r="H21" s="12"/>
      <c r="I21" s="12"/>
      <c r="J21" s="12"/>
      <c r="K21" s="12"/>
      <c r="L21" s="12"/>
      <c r="M21" s="13" t="s">
        <v>53</v>
      </c>
      <c r="N21" s="12" t="s">
        <v>20</v>
      </c>
      <c r="O21" s="12" t="s">
        <v>22</v>
      </c>
      <c r="P21" s="14" t="s">
        <v>49</v>
      </c>
    </row>
    <row r="22" spans="1:16" ht="13.5" customHeight="1" x14ac:dyDescent="0.2">
      <c r="A22" s="15" t="s">
        <v>50</v>
      </c>
      <c r="B22" s="16">
        <f>IF(B21="","",IFERROR(VALUE(VLOOKUP(B21,基本設定!$A$23:$B$35,2,FALSE())),""))</f>
      </c>
      <c r="C22" s="16">
        <f>IF(C21="","",IFERROR(VALUE(VLOOKUP(C21,基本設定!$A$23:$B$35,2,FALSE())),""))</f>
      </c>
      <c r="D22" s="16">
        <f>IF(D21="","",IFERROR(VALUE(VLOOKUP(D21,基本設定!$A$23:$B$35,2,FALSE())),""))</f>
      </c>
      <c r="E22" s="16">
        <f>IF(E21="","",IFERROR(VALUE(VLOOKUP(E21,基本設定!$A$23:$B$35,2,FALSE())),""))</f>
      </c>
      <c r="F22" s="16">
        <f>IF(F21="","",IFERROR(VALUE(VLOOKUP(F21,基本設定!$A$23:$B$35,2,FALSE())),""))</f>
      </c>
      <c r="G22" s="16">
        <f>IF(G21="","",IFERROR(VALUE(VLOOKUP(G21,基本設定!$A$23:$B$35,2,FALSE())),""))</f>
      </c>
      <c r="H22" s="17"/>
      <c r="I22" s="17"/>
      <c r="J22" s="17"/>
      <c r="K22" s="17"/>
      <c r="L22" s="17"/>
      <c r="M22" s="17">
        <v>1</v>
      </c>
      <c r="N22" s="17">
        <f>IF(N21="","",IFERROR(VALUE(VLOOKUP(N21,基本設定!$A$23:$B$35,2,FALSE())),""))</f>
      </c>
      <c r="O22" s="17">
        <f>IF(O21="","",IFERROR(VALUE(VLOOKUP(O21,基本設定!$A$23:$B$35,2,FALSE())),""))</f>
      </c>
      <c r="P22" s="18">
        <f>IF(SUM(B22:O22)=0,"",SUM(B22:O22))</f>
      </c>
    </row>
    <row r="23" spans="1:16" ht="13.5" customHeight="1" x14ac:dyDescent="0.2">
      <c r="A23" s="35" t="s">
        <v>51</v>
      </c>
      <c r="B23" s="19">
        <f>IF(B21="","",IF(B24="","",B24-(SUMPRODUCT((B5:C5=B21)*(D5="×"))+SUMPRODUCT((E5:F5=B21)*(G5="×"))+SUMPRODUCT((H5:I5=B21)*(J5="×"))+SUMPRODUCT((K5:L5=B21)*(M5="×"))+SUMPRODUCT((N5:O5=B21)*(P5="×"))+SUMPRODUCT((B7:C7=B21)*(D7="×"))+SUMPRODUCT((E7:F7=B21)*(G7="×"))+SUMPRODUCT((H7:I7=B21)*(J7="×"))+SUMPRODUCT((K7:L7=B21)*(M7="×"))+SUMPRODUCT((N7:O7=B21)*(P7="×"))+SUMPRODUCT((B9:C9=B21)*(D9="×"))+SUMPRODUCT((E9:F9=B21)*(G9="×"))+SUMPRODUCT((H9:I9=B21)*(J9="×"))+SUMPRODUCT((K9:L9=B21)*(M9="×"))+SUMPRODUCT((N9:O9=B21)*(P9="×"))+SUMPRODUCT((B11:C11=B21)*(D11="×"))+SUMPRODUCT((E11:F11=B21)*(G11="×"))+SUMPRODUCT((H11:I11=B21)*(J11="×"))+SUMPRODUCT((K11:L11=B21)*(M11="×"))+SUMPRODUCT((N11:O11=B21)*(P11="×"))+SUMPRODUCT((B13:C13=B21)*(D13="×"))+SUMPRODUCT((E13:F13=B21)*(G13="×"))+SUMPRODUCT((H13:I13=B21)*(J13="×"))+SUMPRODUCT((K13:L13=B21)*(M13="×"))+SUMPRODUCT((N13:O13=B21)*(P13="×"))+SUMPRODUCT((B15:C15=B21)*(D15="×"))+SUMPRODUCT((E15:F15=B21)*(G15="×"))+SUMPRODUCT((H15:I15=B21)*(J15="×"))+SUMPRODUCT((K15:L15=B21)*(M15="×"))+SUMPRODUCT((N15:O15=B21)*(P15="×"))+SUMPRODUCT((B17:C17=B21)*(D17="×"))+SUMPRODUCT((E17:F17=B21)*(G17="×"))+SUMPRODUCT((H17:I17=B21)*(J17="×"))+SUMPRODUCT((K17:L17=B21)*(M17="×"))+SUMPRODUCT((N17:O17=B21)*(P17="×")))))</f>
        <v/>
      </c>
      <c r="C23" s="19">
        <f>IF(C21="","",IF(C24="","",C24-(SUMPRODUCT((B5:C5=C21)*(D5="×"))+SUMPRODUCT((E5:F5=C21)*(G5="×"))+SUMPRODUCT((H5:I5=C21)*(J5="×"))+SUMPRODUCT((K5:L5=C21)*(M5="×"))+SUMPRODUCT((N5:O5=C21)*(P5="×"))+SUMPRODUCT((B7:C7=C21)*(D7="×"))+SUMPRODUCT((E7:F7=C21)*(G7="×"))+SUMPRODUCT((H7:I7=C21)*(J7="×"))+SUMPRODUCT((K7:L7=C21)*(M7="×"))+SUMPRODUCT((N7:O7=C21)*(P7="×"))+SUMPRODUCT((B9:C9=C21)*(D9="×"))+SUMPRODUCT((E9:F9=C21)*(G9="×"))+SUMPRODUCT((H9:I9=C21)*(J9="×"))+SUMPRODUCT((K9:L9=C21)*(M9="×"))+SUMPRODUCT((N9:O9=C21)*(P9="×"))+SUMPRODUCT((B11:C11=C21)*(D11="×"))+SUMPRODUCT((E11:F11=C21)*(G11="×"))+SUMPRODUCT((H11:I11=C21)*(J11="×"))+SUMPRODUCT((K11:L11=C21)*(M11="×"))+SUMPRODUCT((N11:O11=C21)*(P11="×"))+SUMPRODUCT((B13:C13=C21)*(D13="×"))+SUMPRODUCT((E13:F13=C21)*(G13="×"))+SUMPRODUCT((H13:I13=C21)*(J13="×"))+SUMPRODUCT((K13:L13=C21)*(M13="×"))+SUMPRODUCT((N13:O13=C21)*(P13="×"))+SUMPRODUCT((B15:C15=C21)*(D15="×"))+SUMPRODUCT((E15:F15=C21)*(G15="×"))+SUMPRODUCT((H15:I15=C21)*(J15="×"))+SUMPRODUCT((K15:L15=C21)*(M15="×"))+SUMPRODUCT((N15:O15=C21)*(P15="×"))+SUMPRODUCT((B17:C17=C21)*(D17="×"))+SUMPRODUCT((E17:F17=C21)*(G17="×"))+SUMPRODUCT((H17:I17=C21)*(J17="×"))+SUMPRODUCT((K17:L17=C21)*(M17="×"))+SUMPRODUCT((N17:O17=C21)*(P17="×")))))</f>
        <v/>
      </c>
      <c r="D23" s="19">
        <f>IF(D21="","",IF(D24="","",D24-(SUMPRODUCT((B5:C5=D21)*(D5="×"))+SUMPRODUCT((E5:F5=D21)*(G5="×"))+SUMPRODUCT((H5:I5=D21)*(J5="×"))+SUMPRODUCT((K5:L5=D21)*(M5="×"))+SUMPRODUCT((N5:O5=D21)*(P5="×"))+SUMPRODUCT((B7:C7=D21)*(D7="×"))+SUMPRODUCT((E7:F7=D21)*(G7="×"))+SUMPRODUCT((H7:I7=D21)*(J7="×"))+SUMPRODUCT((K7:L7=D21)*(M7="×"))+SUMPRODUCT((N7:O7=D21)*(P7="×"))+SUMPRODUCT((B9:C9=D21)*(D9="×"))+SUMPRODUCT((E9:F9=D21)*(G9="×"))+SUMPRODUCT((H9:I9=D21)*(J9="×"))+SUMPRODUCT((K9:L9=D21)*(M9="×"))+SUMPRODUCT((N9:O9=D21)*(P9="×"))+SUMPRODUCT((B11:C11=D21)*(D11="×"))+SUMPRODUCT((E11:F11=D21)*(G11="×"))+SUMPRODUCT((H11:I11=D21)*(J11="×"))+SUMPRODUCT((K11:L11=D21)*(M11="×"))+SUMPRODUCT((N11:O11=D21)*(P11="×"))+SUMPRODUCT((B13:C13=D21)*(D13="×"))+SUMPRODUCT((E13:F13=D21)*(G13="×"))+SUMPRODUCT((H13:I13=D21)*(J13="×"))+SUMPRODUCT((K13:L13=D21)*(M13="×"))+SUMPRODUCT((N13:O13=D21)*(P13="×"))+SUMPRODUCT((B15:C15=D21)*(D15="×"))+SUMPRODUCT((E15:F15=D21)*(G15="×"))+SUMPRODUCT((H15:I15=D21)*(J15="×"))+SUMPRODUCT((K15:L15=D21)*(M15="×"))+SUMPRODUCT((N15:O15=D21)*(P15="×"))+SUMPRODUCT((B17:C17=D21)*(D17="×"))+SUMPRODUCT((E17:F17=D21)*(G17="×"))+SUMPRODUCT((H17:I17=D21)*(J17="×"))+SUMPRODUCT((K17:L17=D21)*(M17="×"))+SUMPRODUCT((N17:O17=D21)*(P17="×")))))</f>
        <v/>
      </c>
      <c r="E23" s="19">
        <f>IF(E21="","",IF(E24="","",E24-(SUMPRODUCT((B5:C5=E21)*(D5="×"))+SUMPRODUCT((E5:F5=E21)*(G5="×"))+SUMPRODUCT((H5:I5=E21)*(J5="×"))+SUMPRODUCT((K5:L5=E21)*(M5="×"))+SUMPRODUCT((N5:O5=E21)*(P5="×"))+SUMPRODUCT((B7:C7=E21)*(D7="×"))+SUMPRODUCT((E7:F7=E21)*(G7="×"))+SUMPRODUCT((H7:I7=E21)*(J7="×"))+SUMPRODUCT((K7:L7=E21)*(M7="×"))+SUMPRODUCT((N7:O7=E21)*(P7="×"))+SUMPRODUCT((B9:C9=E21)*(D9="×"))+SUMPRODUCT((E9:F9=E21)*(G9="×"))+SUMPRODUCT((H9:I9=E21)*(J9="×"))+SUMPRODUCT((K9:L9=E21)*(M9="×"))+SUMPRODUCT((N9:O9=E21)*(P9="×"))+SUMPRODUCT((B11:C11=E21)*(D11="×"))+SUMPRODUCT((E11:F11=E21)*(G11="×"))+SUMPRODUCT((H11:I11=E21)*(J11="×"))+SUMPRODUCT((K11:L11=E21)*(M11="×"))+SUMPRODUCT((N11:O11=E21)*(P11="×"))+SUMPRODUCT((B13:C13=E21)*(D13="×"))+SUMPRODUCT((E13:F13=E21)*(G13="×"))+SUMPRODUCT((H13:I13=E21)*(J13="×"))+SUMPRODUCT((K13:L13=E21)*(M13="×"))+SUMPRODUCT((N13:O13=E21)*(P13="×"))+SUMPRODUCT((B15:C15=E21)*(D15="×"))+SUMPRODUCT((E15:F15=E21)*(G15="×"))+SUMPRODUCT((H15:I15=E21)*(J15="×"))+SUMPRODUCT((K15:L15=E21)*(M15="×"))+SUMPRODUCT((N15:O15=E21)*(P15="×"))+SUMPRODUCT((B17:C17=E21)*(D17="×"))+SUMPRODUCT((E17:F17=E21)*(G17="×"))+SUMPRODUCT((H17:I17=E21)*(J17="×"))+SUMPRODUCT((K17:L17=E21)*(M17="×"))+SUMPRODUCT((N17:O17=E21)*(P17="×")))))</f>
        <v/>
      </c>
      <c r="F23" s="19">
        <f>IF(F21="","",IF(F24="","",F24-(SUMPRODUCT((B5:C5=F21)*(D5="×"))+SUMPRODUCT((E5:F5=F21)*(G5="×"))+SUMPRODUCT((H5:I5=F21)*(J5="×"))+SUMPRODUCT((K5:L5=F21)*(M5="×"))+SUMPRODUCT((N5:O5=F21)*(P5="×"))+SUMPRODUCT((B7:C7=F21)*(D7="×"))+SUMPRODUCT((E7:F7=F21)*(G7="×"))+SUMPRODUCT((H7:I7=F21)*(J7="×"))+SUMPRODUCT((K7:L7=F21)*(M7="×"))+SUMPRODUCT((N7:O7=F21)*(P7="×"))+SUMPRODUCT((B9:C9=F21)*(D9="×"))+SUMPRODUCT((E9:F9=F21)*(G9="×"))+SUMPRODUCT((H9:I9=F21)*(J9="×"))+SUMPRODUCT((K9:L9=F21)*(M9="×"))+SUMPRODUCT((N9:O9=F21)*(P9="×"))+SUMPRODUCT((B11:C11=F21)*(D11="×"))+SUMPRODUCT((E11:F11=F21)*(G11="×"))+SUMPRODUCT((H11:I11=F21)*(J11="×"))+SUMPRODUCT((K11:L11=F21)*(M11="×"))+SUMPRODUCT((N11:O11=F21)*(P11="×"))+SUMPRODUCT((B13:C13=F21)*(D13="×"))+SUMPRODUCT((E13:F13=F21)*(G13="×"))+SUMPRODUCT((H13:I13=F21)*(J13="×"))+SUMPRODUCT((K13:L13=F21)*(M13="×"))+SUMPRODUCT((N13:O13=F21)*(P13="×"))+SUMPRODUCT((B15:C15=F21)*(D15="×"))+SUMPRODUCT((E15:F15=F21)*(G15="×"))+SUMPRODUCT((H15:I15=F21)*(J15="×"))+SUMPRODUCT((K15:L15=F21)*(M15="×"))+SUMPRODUCT((N15:O15=F21)*(P15="×"))+SUMPRODUCT((B17:C17=F21)*(D17="×"))+SUMPRODUCT((E17:F17=F21)*(G17="×"))+SUMPRODUCT((H17:I17=F21)*(J17="×"))+SUMPRODUCT((K17:L17=F21)*(M17="×"))+SUMPRODUCT((N17:O17=F21)*(P17="×")))))</f>
        <v/>
      </c>
      <c r="G23" s="19">
        <f>IF(G21="","",IF(G24="","",G24-(SUMPRODUCT((B5:C5=G21)*(D5="×"))+SUMPRODUCT((E5:F5=G21)*(G5="×"))+SUMPRODUCT((H5:I5=G21)*(J5="×"))+SUMPRODUCT((K5:L5=G21)*(M5="×"))+SUMPRODUCT((N5:O5=G21)*(P5="×"))+SUMPRODUCT((B7:C7=G21)*(D7="×"))+SUMPRODUCT((E7:F7=G21)*(G7="×"))+SUMPRODUCT((H7:I7=G21)*(J7="×"))+SUMPRODUCT((K7:L7=G21)*(M7="×"))+SUMPRODUCT((N7:O7=G21)*(P7="×"))+SUMPRODUCT((B9:C9=G21)*(D9="×"))+SUMPRODUCT((E9:F9=G21)*(G9="×"))+SUMPRODUCT((H9:I9=G21)*(J9="×"))+SUMPRODUCT((K9:L9=G21)*(M9="×"))+SUMPRODUCT((N9:O9=G21)*(P9="×"))+SUMPRODUCT((B11:C11=G21)*(D11="×"))+SUMPRODUCT((E11:F11=G21)*(G11="×"))+SUMPRODUCT((H11:I11=G21)*(J11="×"))+SUMPRODUCT((K11:L11=G21)*(M11="×"))+SUMPRODUCT((N11:O11=G21)*(P11="×"))+SUMPRODUCT((B13:C13=G21)*(D13="×"))+SUMPRODUCT((E13:F13=G21)*(G13="×"))+SUMPRODUCT((H13:I13=G21)*(J13="×"))+SUMPRODUCT((K13:L13=G21)*(M13="×"))+SUMPRODUCT((N13:O13=G21)*(P13="×"))+SUMPRODUCT((B15:C15=G21)*(D15="×"))+SUMPRODUCT((E15:F15=G21)*(G15="×"))+SUMPRODUCT((H15:I15=G21)*(J15="×"))+SUMPRODUCT((K15:L15=G21)*(M15="×"))+SUMPRODUCT((N15:O15=G21)*(P15="×"))+SUMPRODUCT((B17:C17=G21)*(D17="×"))+SUMPRODUCT((E17:F17=G21)*(G17="×"))+SUMPRODUCT((H17:I17=G21)*(J17="×"))+SUMPRODUCT((K17:L17=G21)*(M17="×"))+SUMPRODUCT((N17:O17=G21)*(P17="×")))))</f>
        <v/>
      </c>
      <c r="H23" s="19"/>
      <c r="I23" s="19"/>
      <c r="J23" s="19"/>
      <c r="K23" s="19"/>
      <c r="L23" s="19"/>
      <c r="M23" s="19">
        <f>IF(M24="","",M24-(SUMPRODUCT((B5:C5="特活")*(D5="×"))+SUMPRODUCT((B5:C5="学活")*(D5="×"))+SUMPRODUCT((E5:F5="特活")*(G5="×"))+SUMPRODUCT((E5:F5="学活")*(G5="×"))+SUMPRODUCT((H5:I5="特活")*(J5="×"))+SUMPRODUCT((H5:I5="学活")*(J5="×"))+SUMPRODUCT((K5:L5="特活")*(M5="×"))+SUMPRODUCT((K5:L5="学活")*(M5="×"))+SUMPRODUCT((N5:O5="特活")*(P5="×"))+SUMPRODUCT((N5:O5="学活")*(P5="×"))+SUMPRODUCT((B7:C7="特活")*(D7="×"))+SUMPRODUCT((B7:C7="学活")*(D7="×"))+SUMPRODUCT((E7:F7="特活")*(G7="×"))+SUMPRODUCT((E7:F7="学活")*(G7="×"))+SUMPRODUCT((H7:I7="特活")*(J7="×"))+SUMPRODUCT((H7:I7="学活")*(J7="×"))+SUMPRODUCT((K7:L7="特活")*(M7="×"))+SUMPRODUCT((K7:L7="学活")*(M7="×"))+SUMPRODUCT((N7:O7="特活")*(P7="×"))+SUMPRODUCT((N7:O7="学活")*(P7="×"))+SUMPRODUCT((B9:C9="特活")*(D9="×"))+SUMPRODUCT((B9:C9="学活")*(D9="×"))+SUMPRODUCT((E9:F9="特活")*(G9="×"))+SUMPRODUCT((E9:F9="学活")*(G9="×"))+SUMPRODUCT((H9:I9="特活")*(J9="×"))+SUMPRODUCT((H9:I9="学活")*(J9="×"))+SUMPRODUCT((K9:L9="特活")*(M9="×"))+SUMPRODUCT((K9:L9="学活")*(M9="×"))+SUMPRODUCT((N9:O9="特活")*(P9="×"))+SUMPRODUCT((N9:O9="学活")*(P9="×"))+SUMPRODUCT((B11:C11="特活")*(D11="×"))+SUMPRODUCT((B11:C11="学活")*(D11="×"))+SUMPRODUCT((E11:F11="特活")*(G11="×"))+SUMPRODUCT((E11:F11="学活")*(G11="×"))+SUMPRODUCT((H11:I11="特活")*(J11="×"))+SUMPRODUCT((H11:I11="学活")*(J11="×"))+SUMPRODUCT((K11:L11="特活")*(M11="×"))+SUMPRODUCT((K11:L11="学活")*(M11="×"))+SUMPRODUCT((N11:O11="特活")*(P11="×"))+SUMPRODUCT((N11:O11="学活")*(P11="×"))+SUMPRODUCT((B13:C13="特活")*(D13="×"))+SUMPRODUCT((B13:C13="学活")*(D13="×"))+SUMPRODUCT((E13:F13="特活")*(G13="×"))+SUMPRODUCT((E13:F13="学活")*(G13="×"))+SUMPRODUCT((H13:I13="特活")*(J13="×"))+SUMPRODUCT((H13:I13="学活")*(J13="×"))+SUMPRODUCT((K13:L13="特活")*(M13="×"))+SUMPRODUCT((K13:L13="学活")*(M13="×"))+SUMPRODUCT((N13:O13="特活")*(P13="×"))+SUMPRODUCT((N13:O13="学活")*(P13="×"))+SUMPRODUCT((B15:C15="特活")*(D15="×"))+SUMPRODUCT((B15:C15="学活")*(D15="×"))+SUMPRODUCT((E15:F15="特活")*(G15="×"))+SUMPRODUCT((E15:F15="学活")*(G15="×"))+SUMPRODUCT((H15:I15="特活")*(J15="×"))+SUMPRODUCT((H15:I15="学活")*(J15="×"))+SUMPRODUCT((K15:L15="特活")*(M15="×"))+SUMPRODUCT((K15:L15="学活")*(M15="×"))+SUMPRODUCT((N15:O15="特活")*(P15="×"))+SUMPRODUCT((N15:O15="学活")*(P15="×"))+SUMPRODUCT((B17:C17="特活")*(D17="×"))+SUMPRODUCT((B17:C17="学活")*(D17="×"))+SUMPRODUCT((E17:F17="特活")*(G17="×"))+SUMPRODUCT((E17:F17="学活")*(G17="×"))+SUMPRODUCT((H17:I17="特活")*(J17="×"))+SUMPRODUCT((H17:I17="学活")*(J17="×"))+SUMPRODUCT((K17:L17="特活")*(M17="×"))+SUMPRODUCT((K17:L17="学活")*(M17="×"))+SUMPRODUCT((N17:O17="特活")*(P17="×"))+SUMPRODUCT((N17:O17="学活")*(P17="×"))))</f>
        <v/>
      </c>
      <c r="N23" s="19">
        <f>IF(N24="","",N24-(SUMPRODUCT((B5:C5=N21)*(D5="×"))+SUMPRODUCT((E5:F5=N21)*(G5="×"))+SUMPRODUCT((H5:I5=N21)*(J5="×"))+SUMPRODUCT((K5:L5=N21)*(M5="×"))+SUMPRODUCT((N5:O5=N21)*(P5="×"))+SUMPRODUCT((B7:C7=N21)*(D7="×"))+SUMPRODUCT((E7:F7=N21)*(G7="×"))+SUMPRODUCT((H7:I7=N21)*(J7="×"))+SUMPRODUCT((K7:L7=N21)*(M7="×"))+SUMPRODUCT((N7:O7=N21)*(P7="×"))+SUMPRODUCT((B9:C9=N21)*(D9="×"))+SUMPRODUCT((E9:F9=N21)*(G9="×"))+SUMPRODUCT((H9:I9=N21)*(J9="×"))+SUMPRODUCT((K9:L9=N21)*(M9="×"))+SUMPRODUCT((N9:O9=N21)*(P9="×"))+SUMPRODUCT((B11:C11=N21)*(D11="×"))+SUMPRODUCT((E11:F11=N21)*(G11="×"))+SUMPRODUCT((H11:I11=N21)*(J11="×"))+SUMPRODUCT((K11:L11=N21)*(M11="×"))+SUMPRODUCT((N11:O11=N21)*(P11="×"))+SUMPRODUCT((B13:C13=N21)*(D13="×"))+SUMPRODUCT((E13:F13=N21)*(G13="×"))+SUMPRODUCT((H13:I13=N21)*(J13="×"))+SUMPRODUCT((K13:L13=N21)*(M13="×"))+SUMPRODUCT((N13:O13=N21)*(P13="×"))+SUMPRODUCT((B15:C15=N21)*(D15="×"))+SUMPRODUCT((E15:F15=N21)*(G15="×"))+SUMPRODUCT((H15:I15=N21)*(J15="×"))+SUMPRODUCT((K15:L15=N21)*(M15="×"))+SUMPRODUCT((N15:O15=N21)*(P15="×"))+SUMPRODUCT((B17:C17=N21)*(D17="×"))+SUMPRODUCT((E17:F17=N21)*(G17="×"))+SUMPRODUCT((H17:I17=N21)*(J17="×"))+SUMPRODUCT((K17:L17=N21)*(M17="×"))+SUMPRODUCT((N17:O17=N21)*(P17="×"))))</f>
        <v/>
      </c>
      <c r="O23" s="19">
        <f>IF(O24="","",O24-(SUMPRODUCT((B5:C5=O21)*(D5="×"))+SUMPRODUCT((E5:F5=O21)*(G5="×"))+SUMPRODUCT((H5:I5=O21)*(J5="×"))+SUMPRODUCT((K5:L5=O21)*(M5="×"))+SUMPRODUCT((N5:O5=O21)*(P5="×"))+SUMPRODUCT((B7:C7=O21)*(D7="×"))+SUMPRODUCT((E7:F7=O21)*(G7="×"))+SUMPRODUCT((H7:I7=O21)*(J7="×"))+SUMPRODUCT((K7:L7=O21)*(M7="×"))+SUMPRODUCT((N7:O7=O21)*(P7="×"))+SUMPRODUCT((B9:C9=O21)*(D9="×"))+SUMPRODUCT((E9:F9=O21)*(G9="×"))+SUMPRODUCT((H9:I9=O21)*(J9="×"))+SUMPRODUCT((K9:L9=O21)*(M9="×"))+SUMPRODUCT((N9:O9=O21)*(P9="×"))+SUMPRODUCT((B11:C11=O21)*(D11="×"))+SUMPRODUCT((E11:F11=O21)*(G11="×"))+SUMPRODUCT((H11:I11=O21)*(J11="×"))+SUMPRODUCT((K11:L11=O21)*(M11="×"))+SUMPRODUCT((N11:O11=O21)*(P11="×"))+SUMPRODUCT((B13:C13=O21)*(D13="×"))+SUMPRODUCT((E13:F13=O21)*(G13="×"))+SUMPRODUCT((H13:I13=O21)*(J13="×"))+SUMPRODUCT((K13:L13=O21)*(M13="×"))+SUMPRODUCT((N13:O13=O21)*(P13="×"))+SUMPRODUCT((B15:C15=O21)*(D15="×"))+SUMPRODUCT((E15:F15=O21)*(G15="×"))+SUMPRODUCT((H15:I15=O21)*(J15="×"))+SUMPRODUCT((K15:L15=O21)*(M15="×"))+SUMPRODUCT((N15:O15=O21)*(P15="×"))+SUMPRODUCT((B17:C17=O21)*(D17="×"))+SUMPRODUCT((E17:F17=O21)*(G17="×"))+SUMPRODUCT((H17:I17=O21)*(J17="×"))+SUMPRODUCT((K17:L17=O21)*(M17="×"))+SUMPRODUCT((N17:O17=O21)*(P17="×"))))</f>
        <v/>
      </c>
      <c r="P23" s="20">
        <f>IF(SUM(B23:O23)=0,"",SUM(B23:O23))</f>
        <v/>
      </c>
    </row>
    <row r="24" spans="1:16" ht="13.5" customHeight="1" x14ac:dyDescent="0.2">
      <c r="A24" s="36"/>
      <c r="B24" s="21">
        <f>IF(B21="","",IF(COUNTIF(B5:C5,B21)+COUNTIF(B5:C5,"*,"&amp;B21&amp;",*")+COUNTIF(E5:F5,B21)+COUNTIF(E5:F5,"*,"&amp;B21&amp;",*")+COUNTIF(H5:I5,B21)+COUNTIF(H5:I5,"*,"&amp;B21&amp;",*")+COUNTIF(K5:L5,B21)+COUNTIF(K5:L5,"*,"&amp;B21&amp;",*")+COUNTIF(N5:O5,B21)+COUNTIF(N5:O5,"*,"&amp;B21&amp;",*")+COUNTIF(B7:C7,B21)+COUNTIF(B7:C7,"*,"&amp;B21&amp;",*")+COUNTIF(E7:F7,B21)+COUNTIF(E7:F7,"*,"&amp;B21&amp;",*")+COUNTIF(H7:I7,B21)+COUNTIF(H7:I7,"*,"&amp;B21&amp;",*")+COUNTIF(K7:L7,B21)+COUNTIF(K7:L7,"*,"&amp;B21&amp;",*")+COUNTIF(N7:O7,B21)+COUNTIF(N7:O7,"*,"&amp;B21&amp;",*")+COUNTIF(B9:C9,B21)+COUNTIF(B9:C9,"*,"&amp;B21&amp;",*")+COUNTIF(E9:F9,B21)+COUNTIF(E9:F9,"*,"&amp;B21&amp;",*")+COUNTIF(H9:I9,B21)+COUNTIF(H9:I9,"*,"&amp;B21&amp;",*")+COUNTIF(K9:L9,B21)+COUNTIF(K9:L9,"*,"&amp;B21&amp;",*")+COUNTIF(N9:O9,B21)+COUNTIF(N9:O9,"*,"&amp;B21&amp;",*")+COUNTIF(B11:C11,B21)+COUNTIF(B11:C11,"*,"&amp;B21&amp;",*")+COUNTIF(E11:F11,B21)+COUNTIF(E11:F11,"*,"&amp;B21&amp;",*")+COUNTIF(H11:I11,B21)+COUNTIF(H11:I11,"*,"&amp;B21&amp;",*")+COUNTIF(K11:L11,B21)+COUNTIF(K11:L11,"*,"&amp;B21&amp;",*")+COUNTIF(N11:O11,B21)+COUNTIF(N11:O11,"*,"&amp;B21&amp;",*")+COUNTIF(B13:C13,B21)+COUNTIF(B13:C13,"*,"&amp;B21&amp;",*")+COUNTIF(E13:F13,B21)+COUNTIF(E13:F13,"*,"&amp;B21&amp;",*")+COUNTIF(H13:I13,B21)+COUNTIF(H13:I13,"*,"&amp;B21&amp;",*")+COUNTIF(K13:L13,B21)+COUNTIF(K13:L13,"*,"&amp;B21&amp;",*")+COUNTIF(N13:O13,B21)+COUNTIF(N13:O13,"*,"&amp;B21&amp;",*")+COUNTIF(B15:C15,B21)+COUNTIF(B15:C15,"*,"&amp;B21&amp;",*")+COUNTIF(E15:F15,B21)+COUNTIF(E15:F15,"*,"&amp;B21&amp;",*")+COUNTIF(H15:I15,B21)+COUNTIF(H15:I15,"*,"&amp;B21&amp;",*")+COUNTIF(K15:L15,B21)+COUNTIF(K15:L15,"*,"&amp;B21&amp;",*")+COUNTIF(N15:O15,B21)+COUNTIF(N15:O15,"*,"&amp;B21&amp;",*")+COUNTIF(B17:C17,B21)+COUNTIF(B17:C17,"*,"&amp;B21&amp;",*")+COUNTIF(E17:F17,B21)+COUNTIF(E17:F17,"*,"&amp;B21&amp;",*")+COUNTIF(H17:I17,B21)+COUNTIF(H17:I17,"*,"&amp;B21&amp;",*")+COUNTIF(K17:L17,B21)+COUNTIF(K17:L17,"*,"&amp;B21&amp;",*")+COUNTIF(N17:O17,B21)+COUNTIF(N17:O17,"*,"&amp;B21&amp;",*")=0,"",COUNTIF(B5:C5,B21)+COUNTIF(B5:C5,"*,"&amp;B21&amp;",*")+COUNTIF(E5:F5,B21)+COUNTIF(E5:F5,"*,"&amp;B21&amp;",*")+COUNTIF(H5:I5,B21)+COUNTIF(H5:I5,"*,"&amp;B21&amp;",*")+COUNTIF(K5:L5,B21)+COUNTIF(K5:L5,"*,"&amp;B21&amp;",*")+COUNTIF(N5:O5,B21)+COUNTIF(N5:O5,"*,"&amp;B21&amp;",*")+COUNTIF(B7:C7,B21)+COUNTIF(B7:C7,"*,"&amp;B21&amp;",*")+COUNTIF(E7:F7,B21)+COUNTIF(E7:F7,"*,"&amp;B21&amp;",*")+COUNTIF(H7:I7,B21)+COUNTIF(H7:I7,"*,"&amp;B21&amp;",*")+COUNTIF(K7:L7,B21)+COUNTIF(K7:L7,"*,"&amp;B21&amp;",*")+COUNTIF(N7:O7,B21)+COUNTIF(N7:O7,"*,"&amp;B21&amp;",*")+COUNTIF(B9:C9,B21)+COUNTIF(B9:C9,"*,"&amp;B21&amp;",*")+COUNTIF(E9:F9,B21)+COUNTIF(E9:F9,"*,"&amp;B21&amp;",*")+COUNTIF(H9:I9,B21)+COUNTIF(H9:I9,"*,"&amp;B21&amp;",*")+COUNTIF(K9:L9,B21)+COUNTIF(K9:L9,"*,"&amp;B21&amp;",*")+COUNTIF(N9:O9,B21)+COUNTIF(N9:O9,"*,"&amp;B21&amp;",*")+COUNTIF(B11:C11,B21)+COUNTIF(B11:C11,"*,"&amp;B21&amp;",*")+COUNTIF(E11:F11,B21)+COUNTIF(E11:F11,"*,"&amp;B21&amp;",*")+COUNTIF(H11:I11,B21)+COUNTIF(H11:I11,"*,"&amp;B21&amp;",*")+COUNTIF(K11:L11,B21)+COUNTIF(K11:L11,"*,"&amp;B21&amp;",*")+COUNTIF(N11:O11,B21)+COUNTIF(N11:O11,"*,"&amp;B21&amp;",*")+COUNTIF(B13:C13,B21)+COUNTIF(B13:C13,"*,"&amp;B21&amp;",*")+COUNTIF(E13:F13,B21)+COUNTIF(E13:F13,"*,"&amp;B21&amp;",*")+COUNTIF(H13:I13,B21)+COUNTIF(H13:I13,"*,"&amp;B21&amp;",*")+COUNTIF(K13:L13,B21)+COUNTIF(K13:L13,"*,"&amp;B21&amp;",*")+COUNTIF(N13:O13,B21)+COUNTIF(N13:O13,"*,"&amp;B21&amp;",*")+COUNTIF(B15:C15,B21)+COUNTIF(B15:C15,"*,"&amp;B21&amp;",*")+COUNTIF(E15:F15,B21)+COUNTIF(E15:F15,"*,"&amp;B21&amp;",*")+COUNTIF(H15:I15,B21)+COUNTIF(H15:I15,"*,"&amp;B21&amp;",*")+COUNTIF(K15:L15,B21)+COUNTIF(K15:L15,"*,"&amp;B21&amp;",*")+COUNTIF(N15:O15,B21)+COUNTIF(N15:O15,"*,"&amp;B21&amp;",*")+COUNTIF(B17:C17,B21)+COUNTIF(B17:C17,"*,"&amp;B21&amp;",*")+COUNTIF(E17:F17,B21)+COUNTIF(E17:F17,"*,"&amp;B21&amp;",*")+COUNTIF(H17:I17,B21)+COUNTIF(H17:I17,"*,"&amp;B21&amp;",*")+COUNTIF(K17:L17,B21)+COUNTIF(K17:L17,"*,"&amp;B21&amp;",*")+COUNTIF(N17:O17,B21)+COUNTIF(N17:O17,"*,"&amp;B21&amp;",*")))</f>
        <v/>
      </c>
      <c r="C24" s="21">
        <f>IF(C21="","",IF(COUNTIF(B5:C5,C21)+COUNTIF(B5:C5,"*,"&amp;C21&amp;",*")+COUNTIF(E5:F5,C21)+COUNTIF(E5:F5,"*,"&amp;C21&amp;",*")+COUNTIF(H5:I5,C21)+COUNTIF(H5:I5,"*,"&amp;C21&amp;",*")+COUNTIF(K5:L5,C21)+COUNTIF(K5:L5,"*,"&amp;C21&amp;",*")+COUNTIF(N5:O5,C21)+COUNTIF(N5:O5,"*,"&amp;C21&amp;",*")+COUNTIF(B7:C7,C21)+COUNTIF(B7:C7,"*,"&amp;C21&amp;",*")+COUNTIF(E7:F7,C21)+COUNTIF(E7:F7,"*,"&amp;C21&amp;",*")+COUNTIF(H7:I7,C21)+COUNTIF(H7:I7,"*,"&amp;C21&amp;",*")+COUNTIF(K7:L7,C21)+COUNTIF(K7:L7,"*,"&amp;C21&amp;",*")+COUNTIF(N7:O7,C21)+COUNTIF(N7:O7,"*,"&amp;C21&amp;",*")+COUNTIF(B9:C9,C21)+COUNTIF(B9:C9,"*,"&amp;C21&amp;",*")+COUNTIF(E9:F9,C21)+COUNTIF(E9:F9,"*,"&amp;C21&amp;",*")+COUNTIF(H9:I9,C21)+COUNTIF(H9:I9,"*,"&amp;C21&amp;",*")+COUNTIF(K9:L9,C21)+COUNTIF(K9:L9,"*,"&amp;C21&amp;",*")+COUNTIF(N9:O9,C21)+COUNTIF(N9:O9,"*,"&amp;C21&amp;",*")+COUNTIF(B11:C11,C21)+COUNTIF(B11:C11,"*,"&amp;C21&amp;",*")+COUNTIF(E11:F11,C21)+COUNTIF(E11:F11,"*,"&amp;C21&amp;",*")+COUNTIF(H11:I11,C21)+COUNTIF(H11:I11,"*,"&amp;C21&amp;",*")+COUNTIF(K11:L11,C21)+COUNTIF(K11:L11,"*,"&amp;C21&amp;",*")+COUNTIF(N11:O11,C21)+COUNTIF(N11:O11,"*,"&amp;C21&amp;",*")+COUNTIF(B13:C13,C21)+COUNTIF(B13:C13,"*,"&amp;C21&amp;",*")+COUNTIF(E13:F13,C21)+COUNTIF(E13:F13,"*,"&amp;C21&amp;",*")+COUNTIF(H13:I13,C21)+COUNTIF(H13:I13,"*,"&amp;C21&amp;",*")+COUNTIF(K13:L13,C21)+COUNTIF(K13:L13,"*,"&amp;C21&amp;",*")+COUNTIF(N13:O13,C21)+COUNTIF(N13:O13,"*,"&amp;C21&amp;",*")+COUNTIF(B15:C15,C21)+COUNTIF(B15:C15,"*,"&amp;C21&amp;",*")+COUNTIF(E15:F15,C21)+COUNTIF(E15:F15,"*,"&amp;C21&amp;",*")+COUNTIF(H15:I15,C21)+COUNTIF(H15:I15,"*,"&amp;C21&amp;",*")+COUNTIF(K15:L15,C21)+COUNTIF(K15:L15,"*,"&amp;C21&amp;",*")+COUNTIF(N15:O15,C21)+COUNTIF(N15:O15,"*,"&amp;C21&amp;",*")+COUNTIF(B17:C17,C21)+COUNTIF(B17:C17,"*,"&amp;C21&amp;",*")+COUNTIF(E17:F17,C21)+COUNTIF(E17:F17,"*,"&amp;C21&amp;",*")+COUNTIF(H17:I17,C21)+COUNTIF(H17:I17,"*,"&amp;C21&amp;",*")+COUNTIF(K17:L17,C21)+COUNTIF(K17:L17,"*,"&amp;C21&amp;",*")+COUNTIF(N17:O17,C21)+COUNTIF(N17:O17,"*,"&amp;C21&amp;",*")=0,"",COUNTIF(B5:C5,C21)+COUNTIF(B5:C5,"*,"&amp;C21&amp;",*")+COUNTIF(E5:F5,C21)+COUNTIF(E5:F5,"*,"&amp;C21&amp;",*")+COUNTIF(H5:I5,C21)+COUNTIF(H5:I5,"*,"&amp;C21&amp;",*")+COUNTIF(K5:L5,C21)+COUNTIF(K5:L5,"*,"&amp;C21&amp;",*")+COUNTIF(N5:O5,C21)+COUNTIF(N5:O5,"*,"&amp;C21&amp;",*")+COUNTIF(B7:C7,C21)+COUNTIF(B7:C7,"*,"&amp;C21&amp;",*")+COUNTIF(E7:F7,C21)+COUNTIF(E7:F7,"*,"&amp;C21&amp;",*")+COUNTIF(H7:I7,C21)+COUNTIF(H7:I7,"*,"&amp;C21&amp;",*")+COUNTIF(K7:L7,C21)+COUNTIF(K7:L7,"*,"&amp;C21&amp;",*")+COUNTIF(N7:O7,C21)+COUNTIF(N7:O7,"*,"&amp;C21&amp;",*")+COUNTIF(B9:C9,C21)+COUNTIF(B9:C9,"*,"&amp;C21&amp;",*")+COUNTIF(E9:F9,C21)+COUNTIF(E9:F9,"*,"&amp;C21&amp;",*")+COUNTIF(H9:I9,C21)+COUNTIF(H9:I9,"*,"&amp;C21&amp;",*")+COUNTIF(K9:L9,C21)+COUNTIF(K9:L9,"*,"&amp;C21&amp;",*")+COUNTIF(N9:O9,C21)+COUNTIF(N9:O9,"*,"&amp;C21&amp;",*")+COUNTIF(B11:C11,C21)+COUNTIF(B11:C11,"*,"&amp;C21&amp;",*")+COUNTIF(E11:F11,C21)+COUNTIF(E11:F11,"*,"&amp;C21&amp;",*")+COUNTIF(H11:I11,C21)+COUNTIF(H11:I11,"*,"&amp;C21&amp;",*")+COUNTIF(K11:L11,C21)+COUNTIF(K11:L11,"*,"&amp;C21&amp;",*")+COUNTIF(N11:O11,C21)+COUNTIF(N11:O11,"*,"&amp;C21&amp;",*")+COUNTIF(B13:C13,C21)+COUNTIF(B13:C13,"*,"&amp;C21&amp;",*")+COUNTIF(E13:F13,C21)+COUNTIF(E13:F13,"*,"&amp;C21&amp;",*")+COUNTIF(H13:I13,C21)+COUNTIF(H13:I13,"*,"&amp;C21&amp;",*")+COUNTIF(K13:L13,C21)+COUNTIF(K13:L13,"*,"&amp;C21&amp;",*")+COUNTIF(N13:O13,C21)+COUNTIF(N13:O13,"*,"&amp;C21&amp;",*")+COUNTIF(B15:C15,C21)+COUNTIF(B15:C15,"*,"&amp;C21&amp;",*")+COUNTIF(E15:F15,C21)+COUNTIF(E15:F15,"*,"&amp;C21&amp;",*")+COUNTIF(H15:I15,C21)+COUNTIF(H15:I15,"*,"&amp;C21&amp;",*")+COUNTIF(K15:L15,C21)+COUNTIF(K15:L15,"*,"&amp;C21&amp;",*")+COUNTIF(N15:O15,C21)+COUNTIF(N15:O15,"*,"&amp;C21&amp;",*")+COUNTIF(B17:C17,C21)+COUNTIF(B17:C17,"*,"&amp;C21&amp;",*")+COUNTIF(E17:F17,C21)+COUNTIF(E17:F17,"*,"&amp;C21&amp;",*")+COUNTIF(H17:I17,C21)+COUNTIF(H17:I17,"*,"&amp;C21&amp;",*")+COUNTIF(K17:L17,C21)+COUNTIF(K17:L17,"*,"&amp;C21&amp;",*")+COUNTIF(N17:O17,C21)+COUNTIF(N17:O17,"*,"&amp;C21&amp;",*")))</f>
        <v/>
      </c>
      <c r="D24" s="21">
        <f>IF(D21="","",IF(COUNTIF(B5:C5,D21)+COUNTIF(B5:C5,"*,"&amp;D21&amp;",*")+COUNTIF(E5:F5,D21)+COUNTIF(E5:F5,"*,"&amp;D21&amp;",*")+COUNTIF(H5:I5,D21)+COUNTIF(H5:I5,"*,"&amp;D21&amp;",*")+COUNTIF(K5:L5,D21)+COUNTIF(K5:L5,"*,"&amp;D21&amp;",*")+COUNTIF(N5:O5,D21)+COUNTIF(N5:O5,"*,"&amp;D21&amp;",*")+COUNTIF(B7:C7,D21)+COUNTIF(B7:C7,"*,"&amp;D21&amp;",*")+COUNTIF(E7:F7,D21)+COUNTIF(E7:F7,"*,"&amp;D21&amp;",*")+COUNTIF(H7:I7,D21)+COUNTIF(H7:I7,"*,"&amp;D21&amp;",*")+COUNTIF(K7:L7,D21)+COUNTIF(K7:L7,"*,"&amp;D21&amp;",*")+COUNTIF(N7:O7,D21)+COUNTIF(N7:O7,"*,"&amp;D21&amp;",*")+COUNTIF(B9:C9,D21)+COUNTIF(B9:C9,"*,"&amp;D21&amp;",*")+COUNTIF(E9:F9,D21)+COUNTIF(E9:F9,"*,"&amp;D21&amp;",*")+COUNTIF(H9:I9,D21)+COUNTIF(H9:I9,"*,"&amp;D21&amp;",*")+COUNTIF(K9:L9,D21)+COUNTIF(K9:L9,"*,"&amp;D21&amp;",*")+COUNTIF(N9:O9,D21)+COUNTIF(N9:O9,"*,"&amp;D21&amp;",*")+COUNTIF(B11:C11,D21)+COUNTIF(B11:C11,"*,"&amp;D21&amp;",*")+COUNTIF(E11:F11,D21)+COUNTIF(E11:F11,"*,"&amp;D21&amp;",*")+COUNTIF(H11:I11,D21)+COUNTIF(H11:I11,"*,"&amp;D21&amp;",*")+COUNTIF(K11:L11,D21)+COUNTIF(K11:L11,"*,"&amp;D21&amp;",*")+COUNTIF(N11:O11,D21)+COUNTIF(N11:O11,"*,"&amp;D21&amp;",*")+COUNTIF(B13:C13,D21)+COUNTIF(B13:C13,"*,"&amp;D21&amp;",*")+COUNTIF(E13:F13,D21)+COUNTIF(E13:F13,"*,"&amp;D21&amp;",*")+COUNTIF(H13:I13,D21)+COUNTIF(H13:I13,"*,"&amp;D21&amp;",*")+COUNTIF(K13:L13,D21)+COUNTIF(K13:L13,"*,"&amp;D21&amp;",*")+COUNTIF(N13:O13,D21)+COUNTIF(N13:O13,"*,"&amp;D21&amp;",*")+COUNTIF(B15:C15,D21)+COUNTIF(B15:C15,"*,"&amp;D21&amp;",*")+COUNTIF(E15:F15,D21)+COUNTIF(E15:F15,"*,"&amp;D21&amp;",*")+COUNTIF(H15:I15,D21)+COUNTIF(H15:I15,"*,"&amp;D21&amp;",*")+COUNTIF(K15:L15,D21)+COUNTIF(K15:L15,"*,"&amp;D21&amp;",*")+COUNTIF(N15:O15,D21)+COUNTIF(N15:O15,"*,"&amp;D21&amp;",*")+COUNTIF(B17:C17,D21)+COUNTIF(B17:C17,"*,"&amp;D21&amp;",*")+COUNTIF(E17:F17,D21)+COUNTIF(E17:F17,"*,"&amp;D21&amp;",*")+COUNTIF(H17:I17,D21)+COUNTIF(H17:I17,"*,"&amp;D21&amp;",*")+COUNTIF(K17:L17,D21)+COUNTIF(K17:L17,"*,"&amp;D21&amp;",*")+COUNTIF(N17:O17,D21)+COUNTIF(N17:O17,"*,"&amp;D21&amp;",*")=0,"",COUNTIF(B5:C5,D21)+COUNTIF(B5:C5,"*,"&amp;D21&amp;",*")+COUNTIF(E5:F5,D21)+COUNTIF(E5:F5,"*,"&amp;D21&amp;",*")+COUNTIF(H5:I5,D21)+COUNTIF(H5:I5,"*,"&amp;D21&amp;",*")+COUNTIF(K5:L5,D21)+COUNTIF(K5:L5,"*,"&amp;D21&amp;",*")+COUNTIF(N5:O5,D21)+COUNTIF(N5:O5,"*,"&amp;D21&amp;",*")+COUNTIF(B7:C7,D21)+COUNTIF(B7:C7,"*,"&amp;D21&amp;",*")+COUNTIF(E7:F7,D21)+COUNTIF(E7:F7,"*,"&amp;D21&amp;",*")+COUNTIF(H7:I7,D21)+COUNTIF(H7:I7,"*,"&amp;D21&amp;",*")+COUNTIF(K7:L7,D21)+COUNTIF(K7:L7,"*,"&amp;D21&amp;",*")+COUNTIF(N7:O7,D21)+COUNTIF(N7:O7,"*,"&amp;D21&amp;",*")+COUNTIF(B9:C9,D21)+COUNTIF(B9:C9,"*,"&amp;D21&amp;",*")+COUNTIF(E9:F9,D21)+COUNTIF(E9:F9,"*,"&amp;D21&amp;",*")+COUNTIF(H9:I9,D21)+COUNTIF(H9:I9,"*,"&amp;D21&amp;",*")+COUNTIF(K9:L9,D21)+COUNTIF(K9:L9,"*,"&amp;D21&amp;",*")+COUNTIF(N9:O9,D21)+COUNTIF(N9:O9,"*,"&amp;D21&amp;",*")+COUNTIF(B11:C11,D21)+COUNTIF(B11:C11,"*,"&amp;D21&amp;",*")+COUNTIF(E11:F11,D21)+COUNTIF(E11:F11,"*,"&amp;D21&amp;",*")+COUNTIF(H11:I11,D21)+COUNTIF(H11:I11,"*,"&amp;D21&amp;",*")+COUNTIF(K11:L11,D21)+COUNTIF(K11:L11,"*,"&amp;D21&amp;",*")+COUNTIF(N11:O11,D21)+COUNTIF(N11:O11,"*,"&amp;D21&amp;",*")+COUNTIF(B13:C13,D21)+COUNTIF(B13:C13,"*,"&amp;D21&amp;",*")+COUNTIF(E13:F13,D21)+COUNTIF(E13:F13,"*,"&amp;D21&amp;",*")+COUNTIF(H13:I13,D21)+COUNTIF(H13:I13,"*,"&amp;D21&amp;",*")+COUNTIF(K13:L13,D21)+COUNTIF(K13:L13,"*,"&amp;D21&amp;",*")+COUNTIF(N13:O13,D21)+COUNTIF(N13:O13,"*,"&amp;D21&amp;",*")+COUNTIF(B15:C15,D21)+COUNTIF(B15:C15,"*,"&amp;D21&amp;",*")+COUNTIF(E15:F15,D21)+COUNTIF(E15:F15,"*,"&amp;D21&amp;",*")+COUNTIF(H15:I15,D21)+COUNTIF(H15:I15,"*,"&amp;D21&amp;",*")+COUNTIF(K15:L15,D21)+COUNTIF(K15:L15,"*,"&amp;D21&amp;",*")+COUNTIF(N15:O15,D21)+COUNTIF(N15:O15,"*,"&amp;D21&amp;",*")+COUNTIF(B17:C17,D21)+COUNTIF(B17:C17,"*,"&amp;D21&amp;",*")+COUNTIF(E17:F17,D21)+COUNTIF(E17:F17,"*,"&amp;D21&amp;",*")+COUNTIF(H17:I17,D21)+COUNTIF(H17:I17,"*,"&amp;D21&amp;",*")+COUNTIF(K17:L17,D21)+COUNTIF(K17:L17,"*,"&amp;D21&amp;",*")+COUNTIF(N17:O17,D21)+COUNTIF(N17:O17,"*,"&amp;D21&amp;",*")))</f>
        <v/>
      </c>
      <c r="E24" s="21">
        <f>IF(E21="","",IF(COUNTIF(B5:C5,E21)+COUNTIF(B5:C5,"*,"&amp;E21&amp;",*")+COUNTIF(E5:F5,E21)+COUNTIF(E5:F5,"*,"&amp;E21&amp;",*")+COUNTIF(H5:I5,E21)+COUNTIF(H5:I5,"*,"&amp;E21&amp;",*")+COUNTIF(K5:L5,E21)+COUNTIF(K5:L5,"*,"&amp;E21&amp;",*")+COUNTIF(N5:O5,E21)+COUNTIF(N5:O5,"*,"&amp;E21&amp;",*")+COUNTIF(B7:C7,E21)+COUNTIF(B7:C7,"*,"&amp;E21&amp;",*")+COUNTIF(E7:F7,E21)+COUNTIF(E7:F7,"*,"&amp;E21&amp;",*")+COUNTIF(H7:I7,E21)+COUNTIF(H7:I7,"*,"&amp;E21&amp;",*")+COUNTIF(K7:L7,E21)+COUNTIF(K7:L7,"*,"&amp;E21&amp;",*")+COUNTIF(N7:O7,E21)+COUNTIF(N7:O7,"*,"&amp;E21&amp;",*")+COUNTIF(B9:C9,E21)+COUNTIF(B9:C9,"*,"&amp;E21&amp;",*")+COUNTIF(E9:F9,E21)+COUNTIF(E9:F9,"*,"&amp;E21&amp;",*")+COUNTIF(H9:I9,E21)+COUNTIF(H9:I9,"*,"&amp;E21&amp;",*")+COUNTIF(K9:L9,E21)+COUNTIF(K9:L9,"*,"&amp;E21&amp;",*")+COUNTIF(N9:O9,E21)+COUNTIF(N9:O9,"*,"&amp;E21&amp;",*")+COUNTIF(B11:C11,E21)+COUNTIF(B11:C11,"*,"&amp;E21&amp;",*")+COUNTIF(E11:F11,E21)+COUNTIF(E11:F11,"*,"&amp;E21&amp;",*")+COUNTIF(H11:I11,E21)+COUNTIF(H11:I11,"*,"&amp;E21&amp;",*")+COUNTIF(K11:L11,E21)+COUNTIF(K11:L11,"*,"&amp;E21&amp;",*")+COUNTIF(N11:O11,E21)+COUNTIF(N11:O11,"*,"&amp;E21&amp;",*")+COUNTIF(B13:C13,E21)+COUNTIF(B13:C13,"*,"&amp;E21&amp;",*")+COUNTIF(E13:F13,E21)+COUNTIF(E13:F13,"*,"&amp;E21&amp;",*")+COUNTIF(H13:I13,E21)+COUNTIF(H13:I13,"*,"&amp;E21&amp;",*")+COUNTIF(K13:L13,E21)+COUNTIF(K13:L13,"*,"&amp;E21&amp;",*")+COUNTIF(N13:O13,E21)+COUNTIF(N13:O13,"*,"&amp;E21&amp;",*")+COUNTIF(B15:C15,E21)+COUNTIF(B15:C15,"*,"&amp;E21&amp;",*")+COUNTIF(E15:F15,E21)+COUNTIF(E15:F15,"*,"&amp;E21&amp;",*")+COUNTIF(H15:I15,E21)+COUNTIF(H15:I15,"*,"&amp;E21&amp;",*")+COUNTIF(K15:L15,E21)+COUNTIF(K15:L15,"*,"&amp;E21&amp;",*")+COUNTIF(N15:O15,E21)+COUNTIF(N15:O15,"*,"&amp;E21&amp;",*")+COUNTIF(B17:C17,E21)+COUNTIF(B17:C17,"*,"&amp;E21&amp;",*")+COUNTIF(E17:F17,E21)+COUNTIF(E17:F17,"*,"&amp;E21&amp;",*")+COUNTIF(H17:I17,E21)+COUNTIF(H17:I17,"*,"&amp;E21&amp;",*")+COUNTIF(K17:L17,E21)+COUNTIF(K17:L17,"*,"&amp;E21&amp;",*")+COUNTIF(N17:O17,E21)+COUNTIF(N17:O17,"*,"&amp;E21&amp;",*")=0,"",COUNTIF(B5:C5,E21)+COUNTIF(B5:C5,"*,"&amp;E21&amp;",*")+COUNTIF(E5:F5,E21)+COUNTIF(E5:F5,"*,"&amp;E21&amp;",*")+COUNTIF(H5:I5,E21)+COUNTIF(H5:I5,"*,"&amp;E21&amp;",*")+COUNTIF(K5:L5,E21)+COUNTIF(K5:L5,"*,"&amp;E21&amp;",*")+COUNTIF(N5:O5,E21)+COUNTIF(N5:O5,"*,"&amp;E21&amp;",*")+COUNTIF(B7:C7,E21)+COUNTIF(B7:C7,"*,"&amp;E21&amp;",*")+COUNTIF(E7:F7,E21)+COUNTIF(E7:F7,"*,"&amp;E21&amp;",*")+COUNTIF(H7:I7,E21)+COUNTIF(H7:I7,"*,"&amp;E21&amp;",*")+COUNTIF(K7:L7,E21)+COUNTIF(K7:L7,"*,"&amp;E21&amp;",*")+COUNTIF(N7:O7,E21)+COUNTIF(N7:O7,"*,"&amp;E21&amp;",*")+COUNTIF(B9:C9,E21)+COUNTIF(B9:C9,"*,"&amp;E21&amp;",*")+COUNTIF(E9:F9,E21)+COUNTIF(E9:F9,"*,"&amp;E21&amp;",*")+COUNTIF(H9:I9,E21)+COUNTIF(H9:I9,"*,"&amp;E21&amp;",*")+COUNTIF(K9:L9,E21)+COUNTIF(K9:L9,"*,"&amp;E21&amp;",*")+COUNTIF(N9:O9,E21)+COUNTIF(N9:O9,"*,"&amp;E21&amp;",*")+COUNTIF(B11:C11,E21)+COUNTIF(B11:C11,"*,"&amp;E21&amp;",*")+COUNTIF(E11:F11,E21)+COUNTIF(E11:F11,"*,"&amp;E21&amp;",*")+COUNTIF(H11:I11,E21)+COUNTIF(H11:I11,"*,"&amp;E21&amp;",*")+COUNTIF(K11:L11,E21)+COUNTIF(K11:L11,"*,"&amp;E21&amp;",*")+COUNTIF(N11:O11,E21)+COUNTIF(N11:O11,"*,"&amp;E21&amp;",*")+COUNTIF(B13:C13,E21)+COUNTIF(B13:C13,"*,"&amp;E21&amp;",*")+COUNTIF(E13:F13,E21)+COUNTIF(E13:F13,"*,"&amp;E21&amp;",*")+COUNTIF(H13:I13,E21)+COUNTIF(H13:I13,"*,"&amp;E21&amp;",*")+COUNTIF(K13:L13,E21)+COUNTIF(K13:L13,"*,"&amp;E21&amp;",*")+COUNTIF(N13:O13,E21)+COUNTIF(N13:O13,"*,"&amp;E21&amp;",*")+COUNTIF(B15:C15,E21)+COUNTIF(B15:C15,"*,"&amp;E21&amp;",*")+COUNTIF(E15:F15,E21)+COUNTIF(E15:F15,"*,"&amp;E21&amp;",*")+COUNTIF(H15:I15,E21)+COUNTIF(H15:I15,"*,"&amp;E21&amp;",*")+COUNTIF(K15:L15,E21)+COUNTIF(K15:L15,"*,"&amp;E21&amp;",*")+COUNTIF(N15:O15,E21)+COUNTIF(N15:O15,"*,"&amp;E21&amp;",*")+COUNTIF(B17:C17,E21)+COUNTIF(B17:C17,"*,"&amp;E21&amp;",*")+COUNTIF(E17:F17,E21)+COUNTIF(E17:F17,"*,"&amp;E21&amp;",*")+COUNTIF(H17:I17,E21)+COUNTIF(H17:I17,"*,"&amp;E21&amp;",*")+COUNTIF(K17:L17,E21)+COUNTIF(K17:L17,"*,"&amp;E21&amp;",*")+COUNTIF(N17:O17,E21)+COUNTIF(N17:O17,"*,"&amp;E21&amp;",*")))</f>
        <v/>
      </c>
      <c r="F24" s="21">
        <f>IF(F21="","",IF(COUNTIF(B5:C5,F21)+COUNTIF(B5:C5,"*,"&amp;F21&amp;",*")+COUNTIF(E5:F5,F21)+COUNTIF(E5:F5,"*,"&amp;F21&amp;",*")+COUNTIF(H5:I5,F21)+COUNTIF(H5:I5,"*,"&amp;F21&amp;",*")+COUNTIF(K5:L5,F21)+COUNTIF(K5:L5,"*,"&amp;F21&amp;",*")+COUNTIF(N5:O5,F21)+COUNTIF(N5:O5,"*,"&amp;F21&amp;",*")+COUNTIF(B7:C7,F21)+COUNTIF(B7:C7,"*,"&amp;F21&amp;",*")+COUNTIF(E7:F7,F21)+COUNTIF(E7:F7,"*,"&amp;F21&amp;",*")+COUNTIF(H7:I7,F21)+COUNTIF(H7:I7,"*,"&amp;F21&amp;",*")+COUNTIF(K7:L7,F21)+COUNTIF(K7:L7,"*,"&amp;F21&amp;",*")+COUNTIF(N7:O7,F21)+COUNTIF(N7:O7,"*,"&amp;F21&amp;",*")+COUNTIF(B9:C9,F21)+COUNTIF(B9:C9,"*,"&amp;F21&amp;",*")+COUNTIF(E9:F9,F21)+COUNTIF(E9:F9,"*,"&amp;F21&amp;",*")+COUNTIF(H9:I9,F21)+COUNTIF(H9:I9,"*,"&amp;F21&amp;",*")+COUNTIF(K9:L9,F21)+COUNTIF(K9:L9,"*,"&amp;F21&amp;",*")+COUNTIF(N9:O9,F21)+COUNTIF(N9:O9,"*,"&amp;F21&amp;",*")+COUNTIF(B11:C11,F21)+COUNTIF(B11:C11,"*,"&amp;F21&amp;",*")+COUNTIF(E11:F11,F21)+COUNTIF(E11:F11,"*,"&amp;F21&amp;",*")+COUNTIF(H11:I11,F21)+COUNTIF(H11:I11,"*,"&amp;F21&amp;",*")+COUNTIF(K11:L11,F21)+COUNTIF(K11:L11,"*,"&amp;F21&amp;",*")+COUNTIF(N11:O11,F21)+COUNTIF(N11:O11,"*,"&amp;F21&amp;",*")+COUNTIF(B13:C13,F21)+COUNTIF(B13:C13,"*,"&amp;F21&amp;",*")+COUNTIF(E13:F13,F21)+COUNTIF(E13:F13,"*,"&amp;F21&amp;",*")+COUNTIF(H13:I13,F21)+COUNTIF(H13:I13,"*,"&amp;F21&amp;",*")+COUNTIF(K13:L13,F21)+COUNTIF(K13:L13,"*,"&amp;F21&amp;",*")+COUNTIF(N13:O13,F21)+COUNTIF(N13:O13,"*,"&amp;F21&amp;",*")+COUNTIF(B15:C15,F21)+COUNTIF(B15:C15,"*,"&amp;F21&amp;",*")+COUNTIF(E15:F15,F21)+COUNTIF(E15:F15,"*,"&amp;F21&amp;",*")+COUNTIF(H15:I15,F21)+COUNTIF(H15:I15,"*,"&amp;F21&amp;",*")+COUNTIF(K15:L15,F21)+COUNTIF(K15:L15,"*,"&amp;F21&amp;",*")+COUNTIF(N15:O15,F21)+COUNTIF(N15:O15,"*,"&amp;F21&amp;",*")+COUNTIF(B17:C17,F21)+COUNTIF(B17:C17,"*,"&amp;F21&amp;",*")+COUNTIF(E17:F17,F21)+COUNTIF(E17:F17,"*,"&amp;F21&amp;",*")+COUNTIF(H17:I17,F21)+COUNTIF(H17:I17,"*,"&amp;F21&amp;",*")+COUNTIF(K17:L17,F21)+COUNTIF(K17:L17,"*,"&amp;F21&amp;",*")+COUNTIF(N17:O17,F21)+COUNTIF(N17:O17,"*,"&amp;F21&amp;",*")=0,"",COUNTIF(B5:C5,F21)+COUNTIF(B5:C5,"*,"&amp;F21&amp;",*")+COUNTIF(E5:F5,F21)+COUNTIF(E5:F5,"*,"&amp;F21&amp;",*")+COUNTIF(H5:I5,F21)+COUNTIF(H5:I5,"*,"&amp;F21&amp;",*")+COUNTIF(K5:L5,F21)+COUNTIF(K5:L5,"*,"&amp;F21&amp;",*")+COUNTIF(N5:O5,F21)+COUNTIF(N5:O5,"*,"&amp;F21&amp;",*")+COUNTIF(B7:C7,F21)+COUNTIF(B7:C7,"*,"&amp;F21&amp;",*")+COUNTIF(E7:F7,F21)+COUNTIF(E7:F7,"*,"&amp;F21&amp;",*")+COUNTIF(H7:I7,F21)+COUNTIF(H7:I7,"*,"&amp;F21&amp;",*")+COUNTIF(K7:L7,F21)+COUNTIF(K7:L7,"*,"&amp;F21&amp;",*")+COUNTIF(N7:O7,F21)+COUNTIF(N7:O7,"*,"&amp;F21&amp;",*")+COUNTIF(B9:C9,F21)+COUNTIF(B9:C9,"*,"&amp;F21&amp;",*")+COUNTIF(E9:F9,F21)+COUNTIF(E9:F9,"*,"&amp;F21&amp;",*")+COUNTIF(H9:I9,F21)+COUNTIF(H9:I9,"*,"&amp;F21&amp;",*")+COUNTIF(K9:L9,F21)+COUNTIF(K9:L9,"*,"&amp;F21&amp;",*")+COUNTIF(N9:O9,F21)+COUNTIF(N9:O9,"*,"&amp;F21&amp;",*")+COUNTIF(B11:C11,F21)+COUNTIF(B11:C11,"*,"&amp;F21&amp;",*")+COUNTIF(E11:F11,F21)+COUNTIF(E11:F11,"*,"&amp;F21&amp;",*")+COUNTIF(H11:I11,F21)+COUNTIF(H11:I11,"*,"&amp;F21&amp;",*")+COUNTIF(K11:L11,F21)+COUNTIF(K11:L11,"*,"&amp;F21&amp;",*")+COUNTIF(N11:O11,F21)+COUNTIF(N11:O11,"*,"&amp;F21&amp;",*")+COUNTIF(B13:C13,F21)+COUNTIF(B13:C13,"*,"&amp;F21&amp;",*")+COUNTIF(E13:F13,F21)+COUNTIF(E13:F13,"*,"&amp;F21&amp;",*")+COUNTIF(H13:I13,F21)+COUNTIF(H13:I13,"*,"&amp;F21&amp;",*")+COUNTIF(K13:L13,F21)+COUNTIF(K13:L13,"*,"&amp;F21&amp;",*")+COUNTIF(N13:O13,F21)+COUNTIF(N13:O13,"*,"&amp;F21&amp;",*")+COUNTIF(B15:C15,F21)+COUNTIF(B15:C15,"*,"&amp;F21&amp;",*")+COUNTIF(E15:F15,F21)+COUNTIF(E15:F15,"*,"&amp;F21&amp;",*")+COUNTIF(H15:I15,F21)+COUNTIF(H15:I15,"*,"&amp;F21&amp;",*")+COUNTIF(K15:L15,F21)+COUNTIF(K15:L15,"*,"&amp;F21&amp;",*")+COUNTIF(N15:O15,F21)+COUNTIF(N15:O15,"*,"&amp;F21&amp;",*")+COUNTIF(B17:C17,F21)+COUNTIF(B17:C17,"*,"&amp;F21&amp;",*")+COUNTIF(E17:F17,F21)+COUNTIF(E17:F17,"*,"&amp;F21&amp;",*")+COUNTIF(H17:I17,F21)+COUNTIF(H17:I17,"*,"&amp;F21&amp;",*")+COUNTIF(K17:L17,F21)+COUNTIF(K17:L17,"*,"&amp;F21&amp;",*")+COUNTIF(N17:O17,F21)+COUNTIF(N17:O17,"*,"&amp;F21&amp;",*")))</f>
        <v/>
      </c>
      <c r="G24" s="21">
        <f>IF(G21="","",IF(COUNTIF(B5:C5,G21)+COUNTIF(B5:C5,"*,"&amp;G21&amp;",*")+COUNTIF(E5:F5,G21)+COUNTIF(E5:F5,"*,"&amp;G21&amp;",*")+COUNTIF(H5:I5,G21)+COUNTIF(H5:I5,"*,"&amp;G21&amp;",*")+COUNTIF(K5:L5,G21)+COUNTIF(K5:L5,"*,"&amp;G21&amp;",*")+COUNTIF(N5:O5,G21)+COUNTIF(N5:O5,"*,"&amp;G21&amp;",*")+COUNTIF(B7:C7,G21)+COUNTIF(B7:C7,"*,"&amp;G21&amp;",*")+COUNTIF(E7:F7,G21)+COUNTIF(E7:F7,"*,"&amp;G21&amp;",*")+COUNTIF(H7:I7,G21)+COUNTIF(H7:I7,"*,"&amp;G21&amp;",*")+COUNTIF(K7:L7,G21)+COUNTIF(K7:L7,"*,"&amp;G21&amp;",*")+COUNTIF(N7:O7,G21)+COUNTIF(N7:O7,"*,"&amp;G21&amp;",*")+COUNTIF(B9:C9,G21)+COUNTIF(B9:C9,"*,"&amp;G21&amp;",*")+COUNTIF(E9:F9,G21)+COUNTIF(E9:F9,"*,"&amp;G21&amp;",*")+COUNTIF(H9:I9,G21)+COUNTIF(H9:I9,"*,"&amp;G21&amp;",*")+COUNTIF(K9:L9,G21)+COUNTIF(K9:L9,"*,"&amp;G21&amp;",*")+COUNTIF(N9:O9,G21)+COUNTIF(N9:O9,"*,"&amp;G21&amp;",*")+COUNTIF(B11:C11,G21)+COUNTIF(B11:C11,"*,"&amp;G21&amp;",*")+COUNTIF(E11:F11,G21)+COUNTIF(E11:F11,"*,"&amp;G21&amp;",*")+COUNTIF(H11:I11,G21)+COUNTIF(H11:I11,"*,"&amp;G21&amp;",*")+COUNTIF(K11:L11,G21)+COUNTIF(K11:L11,"*,"&amp;G21&amp;",*")+COUNTIF(N11:O11,G21)+COUNTIF(N11:O11,"*,"&amp;G21&amp;",*")+COUNTIF(B13:C13,G21)+COUNTIF(B13:C13,"*,"&amp;G21&amp;",*")+COUNTIF(E13:F13,G21)+COUNTIF(E13:F13,"*,"&amp;G21&amp;",*")+COUNTIF(H13:I13,G21)+COUNTIF(H13:I13,"*,"&amp;G21&amp;",*")+COUNTIF(K13:L13,G21)+COUNTIF(K13:L13,"*,"&amp;G21&amp;",*")+COUNTIF(N13:O13,G21)+COUNTIF(N13:O13,"*,"&amp;G21&amp;",*")+COUNTIF(B15:C15,G21)+COUNTIF(B15:C15,"*,"&amp;G21&amp;",*")+COUNTIF(E15:F15,G21)+COUNTIF(E15:F15,"*,"&amp;G21&amp;",*")+COUNTIF(H15:I15,G21)+COUNTIF(H15:I15,"*,"&amp;G21&amp;",*")+COUNTIF(K15:L15,G21)+COUNTIF(K15:L15,"*,"&amp;G21&amp;",*")+COUNTIF(N15:O15,G21)+COUNTIF(N15:O15,"*,"&amp;G21&amp;",*")+COUNTIF(B17:C17,G21)+COUNTIF(B17:C17,"*,"&amp;G21&amp;",*")+COUNTIF(E17:F17,G21)+COUNTIF(E17:F17,"*,"&amp;G21&amp;",*")+COUNTIF(H17:I17,G21)+COUNTIF(H17:I17,"*,"&amp;G21&amp;",*")+COUNTIF(K17:L17,G21)+COUNTIF(K17:L17,"*,"&amp;G21&amp;",*")+COUNTIF(N17:O17,G21)+COUNTIF(N17:O17,"*,"&amp;G21&amp;",*")=0,"",COUNTIF(B5:C5,G21)+COUNTIF(B5:C5,"*,"&amp;G21&amp;",*")+COUNTIF(E5:F5,G21)+COUNTIF(E5:F5,"*,"&amp;G21&amp;",*")+COUNTIF(H5:I5,G21)+COUNTIF(H5:I5,"*,"&amp;G21&amp;",*")+COUNTIF(K5:L5,G21)+COUNTIF(K5:L5,"*,"&amp;G21&amp;",*")+COUNTIF(N5:O5,G21)+COUNTIF(N5:O5,"*,"&amp;G21&amp;",*")+COUNTIF(B7:C7,G21)+COUNTIF(B7:C7,"*,"&amp;G21&amp;",*")+COUNTIF(E7:F7,G21)+COUNTIF(E7:F7,"*,"&amp;G21&amp;",*")+COUNTIF(H7:I7,G21)+COUNTIF(H7:I7,"*,"&amp;G21&amp;",*")+COUNTIF(K7:L7,G21)+COUNTIF(K7:L7,"*,"&amp;G21&amp;",*")+COUNTIF(N7:O7,G21)+COUNTIF(N7:O7,"*,"&amp;G21&amp;",*")+COUNTIF(B9:C9,G21)+COUNTIF(B9:C9,"*,"&amp;G21&amp;",*")+COUNTIF(E9:F9,G21)+COUNTIF(E9:F9,"*,"&amp;G21&amp;",*")+COUNTIF(H9:I9,G21)+COUNTIF(H9:I9,"*,"&amp;G21&amp;",*")+COUNTIF(K9:L9,G21)+COUNTIF(K9:L9,"*,"&amp;G21&amp;",*")+COUNTIF(N9:O9,G21)+COUNTIF(N9:O9,"*,"&amp;G21&amp;",*")+COUNTIF(B11:C11,G21)+COUNTIF(B11:C11,"*,"&amp;G21&amp;",*")+COUNTIF(E11:F11,G21)+COUNTIF(E11:F11,"*,"&amp;G21&amp;",*")+COUNTIF(H11:I11,G21)+COUNTIF(H11:I11,"*,"&amp;G21&amp;",*")+COUNTIF(K11:L11,G21)+COUNTIF(K11:L11,"*,"&amp;G21&amp;",*")+COUNTIF(N11:O11,G21)+COUNTIF(N11:O11,"*,"&amp;G21&amp;",*")+COUNTIF(B13:C13,G21)+COUNTIF(B13:C13,"*,"&amp;G21&amp;",*")+COUNTIF(E13:F13,G21)+COUNTIF(E13:F13,"*,"&amp;G21&amp;",*")+COUNTIF(H13:I13,G21)+COUNTIF(H13:I13,"*,"&amp;G21&amp;",*")+COUNTIF(K13:L13,G21)+COUNTIF(K13:L13,"*,"&amp;G21&amp;",*")+COUNTIF(N13:O13,G21)+COUNTIF(N13:O13,"*,"&amp;G21&amp;",*")+COUNTIF(B15:C15,G21)+COUNTIF(B15:C15,"*,"&amp;G21&amp;",*")+COUNTIF(E15:F15,G21)+COUNTIF(E15:F15,"*,"&amp;G21&amp;",*")+COUNTIF(H15:I15,G21)+COUNTIF(H15:I15,"*,"&amp;G21&amp;",*")+COUNTIF(K15:L15,G21)+COUNTIF(K15:L15,"*,"&amp;G21&amp;",*")+COUNTIF(N15:O15,G21)+COUNTIF(N15:O15,"*,"&amp;G21&amp;",*")+COUNTIF(B17:C17,G21)+COUNTIF(B17:C17,"*,"&amp;G21&amp;",*")+COUNTIF(E17:F17,G21)+COUNTIF(E17:F17,"*,"&amp;G21&amp;",*")+COUNTIF(H17:I17,G21)+COUNTIF(H17:I17,"*,"&amp;G21&amp;",*")+COUNTIF(K17:L17,G21)+COUNTIF(K17:L17,"*,"&amp;G21&amp;",*")+COUNTIF(N17:O17,G21)+COUNTIF(N17:O17,"*,"&amp;G21&amp;",*")))</f>
        <v/>
      </c>
      <c r="H24" s="21"/>
      <c r="I24" s="21"/>
      <c r="J24" s="21"/>
      <c r="K24" s="21"/>
      <c r="L24" s="21"/>
      <c r="M24" s="21">
        <f>IF(COUNTIF(B5:C5,"特活")+COUNTIF(B5:C5,"学活")+COUNTIF(E5:F5,"特活")+COUNTIF(E5:F5,"学活")+COUNTIF(H5:I5,"特活")+COUNTIF(H5:I5,"学活")+COUNTIF(K5:L5,"特活")+COUNTIF(K5:L5,"学活")+COUNTIF(N5:O5,"特活")+COUNTIF(N5:O5,"学活")+COUNTIF(B7:C7,"特活")+COUNTIF(B7:C7,"学活")+COUNTIF(E7:F7,"特活")+COUNTIF(E7:F7,"学活")+COUNTIF(H7:I7,"特活")+COUNTIF(H7:I7,"学活")+COUNTIF(K7:L7,"特活")+COUNTIF(K7:L7,"学活")+COUNTIF(N7:O7,"特活")+COUNTIF(N7:O7,"学活")+COUNTIF(B9:C9,"特活")+COUNTIF(B9:C9,"学活")+COUNTIF(E9:F9,"特活")+COUNTIF(E9:F9,"学活")+COUNTIF(H9:I9,"特活")+COUNTIF(H9:I9,"学活")+COUNTIF(K9:L9,"特活")+COUNTIF(K9:L9,"学活")+COUNTIF(N9:O9,"特活")+COUNTIF(N9:O9,"学活")+COUNTIF(B11:C11,"特活")+COUNTIF(B11:C11,"学活")+COUNTIF(E11:F11,"特活")+COUNTIF(E11:F11,"学活")+COUNTIF(H11:I11,"特活")+COUNTIF(H11:I11,"学活")+COUNTIF(K11:L11,"特活")+COUNTIF(K11:L11,"学活")+COUNTIF(N11:O11,"特活")+COUNTIF(N11:O11,"学活")+COUNTIF(B13:C13,"特活")+COUNTIF(B13:C13,"学活")+COUNTIF(E13:F13,"特活")+COUNTIF(E13:F13,"学活")+COUNTIF(H13:I13,"特活")+COUNTIF(H13:I13,"学活")+COUNTIF(K13:L13,"特活")+COUNTIF(K13:L13,"学活")+COUNTIF(N13:O13,"特活")+COUNTIF(N13:O13,"学活")+COUNTIF(B15:C15,"特活")+COUNTIF(B15:C15,"学活")+COUNTIF(E15:F15,"特活")+COUNTIF(E15:F15,"学活")+COUNTIF(H15:I15,"特活")+COUNTIF(H15:I15,"学活")+COUNTIF(K15:L15,"特活")+COUNTIF(K15:L15,"学活")+COUNTIF(N15:O15,"特活")+COUNTIF(N15:O15,"学活")+COUNTIF(B17:C17,"特活")+COUNTIF(B17:C17,"学活")+COUNTIF(E17:F17,"特活")+COUNTIF(E17:F17,"学活")+COUNTIF(H17:I17,"特活")+COUNTIF(H17:I17,"学活")+COUNTIF(K17:L17,"特活")+COUNTIF(K17:L17,"学活")+COUNTIF(N17:O17,"特活")+COUNTIF(N17:O17,"学活")=0,"",COUNTIF(B5:C5,"特活")+COUNTIF(B5:C5,"学活")+COUNTIF(E5:F5,"特活")+COUNTIF(E5:F5,"学活")+COUNTIF(H5:I5,"特活")+COUNTIF(H5:I5,"学活")+COUNTIF(K5:L5,"特活")+COUNTIF(K5:L5,"学活")+COUNTIF(N5:O5,"特活")+COUNTIF(N5:O5,"学活")+COUNTIF(B7:C7,"特活")+COUNTIF(B7:C7,"学活")+COUNTIF(E7:F7,"特活")+COUNTIF(E7:F7,"学活")+COUNTIF(H7:I7,"特活")+COUNTIF(H7:I7,"学活")+COUNTIF(K7:L7,"特活")+COUNTIF(K7:L7,"学活")+COUNTIF(N7:O7,"特活")+COUNTIF(N7:O7,"学活")+COUNTIF(B9:C9,"特活")+COUNTIF(B9:C9,"学活")+COUNTIF(E9:F9,"特活")+COUNTIF(E9:F9,"学活")+COUNTIF(H9:I9,"特活")+COUNTIF(H9:I9,"学活")+COUNTIF(K9:L9,"特活")+COUNTIF(K9:L9,"学活")+COUNTIF(N9:O9,"特活")+COUNTIF(N9:O9,"学活")+COUNTIF(B11:C11,"特活")+COUNTIF(B11:C11,"学活")+COUNTIF(E11:F11,"特活")+COUNTIF(E11:F11,"学活")+COUNTIF(H11:I11,"特活")+COUNTIF(H11:I11,"学活")+COUNTIF(K11:L11,"特活")+COUNTIF(K11:L11,"学活")+COUNTIF(N11:O11,"特活")+COUNTIF(N11:O11,"学活")+COUNTIF(B13:C13,"特活")+COUNTIF(B13:C13,"学活")+COUNTIF(E13:F13,"特活")+COUNTIF(E13:F13,"学活")+COUNTIF(H13:I13,"特活")+COUNTIF(H13:I13,"学活")+COUNTIF(K13:L13,"特活")+COUNTIF(K13:L13,"学活")+COUNTIF(N13:O13,"特活")+COUNTIF(N13:O13,"学活")+COUNTIF(B15:C15,"特活")+COUNTIF(B15:C15,"学活")+COUNTIF(E15:F15,"特活")+COUNTIF(E15:F15,"学活")+COUNTIF(H15:I15,"特活")+COUNTIF(H15:I15,"学活")+COUNTIF(K15:L15,"特活")+COUNTIF(K15:L15,"学活")+COUNTIF(N15:O15,"特活")+COUNTIF(N15:O15,"学活")+COUNTIF(B17:C17,"特活")+COUNTIF(B17:C17,"学活")+COUNTIF(E17:F17,"特活")+COUNTIF(E17:F17,"学活")+COUNTIF(H17:I17,"特活")+COUNTIF(H17:I17,"学活")+COUNTIF(K17:L17,"特活")+COUNTIF(K17:L17,"学活")+COUNTIF(N17:O17,"特活")+COUNTIF(N17:O17,"学活"))</f>
        <v/>
      </c>
      <c r="N24" s="21">
        <f>IF(COUNTIF(B5:C5,N21)+COUNTIF(B5:C5,"*,"&amp;N21&amp;",*")+COUNTIF(E5:F5,N21)+COUNTIF(E5:F5,"*,"&amp;N21&amp;",*")+COUNTIF(H5:I5,N21)+COUNTIF(H5:I5,"*,"&amp;N21&amp;",*")+COUNTIF(K5:L5,N21)+COUNTIF(K5:L5,"*,"&amp;N21&amp;",*")+COUNTIF(N5:O5,N21)+COUNTIF(N5:O5,"*,"&amp;N21&amp;",*")+COUNTIF(B7:C7,N21)+COUNTIF(B7:C7,"*,"&amp;N21&amp;",*")+COUNTIF(E7:F7,N21)+COUNTIF(E7:F7,"*,"&amp;N21&amp;",*")+COUNTIF(H7:I7,N21)+COUNTIF(H7:I7,"*,"&amp;N21&amp;",*")+COUNTIF(K7:L7,N21)+COUNTIF(K7:L7,"*,"&amp;N21&amp;",*")+COUNTIF(N7:O7,N21)+COUNTIF(N7:O7,"*,"&amp;N21&amp;",*")+COUNTIF(B9:C9,N21)+COUNTIF(B9:C9,"*,"&amp;N21&amp;",*")+COUNTIF(E9:F9,N21)+COUNTIF(E9:F9,"*,"&amp;N21&amp;",*")+COUNTIF(H9:I9,N21)+COUNTIF(H9:I9,"*,"&amp;N21&amp;",*")+COUNTIF(K9:L9,N21)+COUNTIF(K9:L9,"*,"&amp;N21&amp;",*")+COUNTIF(N9:O9,N21)+COUNTIF(N9:O9,"*,"&amp;N21&amp;",*")+COUNTIF(B11:C11,N21)+COUNTIF(B11:C11,"*,"&amp;N21&amp;",*")+COUNTIF(E11:F11,N21)+COUNTIF(E11:F11,"*,"&amp;N21&amp;",*")+COUNTIF(H11:I11,N21)+COUNTIF(H11:I11,"*,"&amp;N21&amp;",*")+COUNTIF(K11:L11,N21)+COUNTIF(K11:L11,"*,"&amp;N21&amp;",*")+COUNTIF(N11:O11,N21)+COUNTIF(N11:O11,"*,"&amp;N21&amp;",*")+COUNTIF(B13:C13,N21)+COUNTIF(B13:C13,"*,"&amp;N21&amp;",*")+COUNTIF(E13:F13,N21)+COUNTIF(E13:F13,"*,"&amp;N21&amp;",*")+COUNTIF(H13:I13,N21)+COUNTIF(H13:I13,"*,"&amp;N21&amp;",*")+COUNTIF(K13:L13,N21)+COUNTIF(K13:L13,"*,"&amp;N21&amp;",*")+COUNTIF(N13:O13,N21)+COUNTIF(N13:O13,"*,"&amp;N21&amp;",*")+COUNTIF(B15:C15,N21)+COUNTIF(B15:C15,"*,"&amp;N21&amp;",*")+COUNTIF(E15:F15,N21)+COUNTIF(E15:F15,"*,"&amp;N21&amp;",*")+COUNTIF(H15:I15,N21)+COUNTIF(H15:I15,"*,"&amp;N21&amp;",*")+COUNTIF(K15:L15,N21)+COUNTIF(K15:L15,"*,"&amp;N21&amp;",*")+COUNTIF(N15:O15,N21)+COUNTIF(N15:O15,"*,"&amp;N21&amp;",*")+COUNTIF(B17:C17,N21)+COUNTIF(B17:C17,"*,"&amp;N21&amp;",*")+COUNTIF(E17:F17,N21)+COUNTIF(E17:F17,"*,"&amp;N21&amp;",*")+COUNTIF(H17:I17,N21)+COUNTIF(H17:I17,"*,"&amp;N21&amp;",*")+COUNTIF(K17:L17,N21)+COUNTIF(K17:L17,"*,"&amp;N21&amp;",*")+COUNTIF(N17:O17,N21)+COUNTIF(N17:O17,"*,"&amp;N21&amp;",*")=0,"",COUNTIF(B5:C5,N21)+COUNTIF(B5:C5,"*,"&amp;N21&amp;",*")+COUNTIF(E5:F5,N21)+COUNTIF(E5:F5,"*,"&amp;N21&amp;",*")+COUNTIF(H5:I5,N21)+COUNTIF(H5:I5,"*,"&amp;N21&amp;",*")+COUNTIF(K5:L5,N21)+COUNTIF(K5:L5,"*,"&amp;N21&amp;",*")+COUNTIF(N5:O5,N21)+COUNTIF(N5:O5,"*,"&amp;N21&amp;",*")+COUNTIF(B7:C7,N21)+COUNTIF(B7:C7,"*,"&amp;N21&amp;",*")+COUNTIF(E7:F7,N21)+COUNTIF(E7:F7,"*,"&amp;N21&amp;",*")+COUNTIF(H7:I7,N21)+COUNTIF(H7:I7,"*,"&amp;N21&amp;",*")+COUNTIF(K7:L7,N21)+COUNTIF(K7:L7,"*,"&amp;N21&amp;",*")+COUNTIF(N7:O7,N21)+COUNTIF(N7:O7,"*,"&amp;N21&amp;",*")+COUNTIF(B9:C9,N21)+COUNTIF(B9:C9,"*,"&amp;N21&amp;",*")+COUNTIF(E9:F9,N21)+COUNTIF(E9:F9,"*,"&amp;N21&amp;",*")+COUNTIF(H9:I9,N21)+COUNTIF(H9:I9,"*,"&amp;N21&amp;",*")+COUNTIF(K9:L9,N21)+COUNTIF(K9:L9,"*,"&amp;N21&amp;",*")+COUNTIF(N9:O9,N21)+COUNTIF(N9:O9,"*,"&amp;N21&amp;",*")+COUNTIF(B11:C11,N21)+COUNTIF(B11:C11,"*,"&amp;N21&amp;",*")+COUNTIF(E11:F11,N21)+COUNTIF(E11:F11,"*,"&amp;N21&amp;",*")+COUNTIF(H11:I11,N21)+COUNTIF(H11:I11,"*,"&amp;N21&amp;",*")+COUNTIF(K11:L11,N21)+COUNTIF(K11:L11,"*,"&amp;N21&amp;",*")+COUNTIF(N11:O11,N21)+COUNTIF(N11:O11,"*,"&amp;N21&amp;",*")+COUNTIF(B13:C13,N21)+COUNTIF(B13:C13,"*,"&amp;N21&amp;",*")+COUNTIF(E13:F13,N21)+COUNTIF(E13:F13,"*,"&amp;N21&amp;",*")+COUNTIF(H13:I13,N21)+COUNTIF(H13:I13,"*,"&amp;N21&amp;",*")+COUNTIF(K13:L13,N21)+COUNTIF(K13:L13,"*,"&amp;N21&amp;",*")+COUNTIF(N13:O13,N21)+COUNTIF(N13:O13,"*,"&amp;N21&amp;",*")+COUNTIF(B15:C15,N21)+COUNTIF(B15:C15,"*,"&amp;N21&amp;",*")+COUNTIF(E15:F15,N21)+COUNTIF(E15:F15,"*,"&amp;N21&amp;",*")+COUNTIF(H15:I15,N21)+COUNTIF(H15:I15,"*,"&amp;N21&amp;",*")+COUNTIF(K15:L15,N21)+COUNTIF(K15:L15,"*,"&amp;N21&amp;",*")+COUNTIF(N15:O15,N21)+COUNTIF(N15:O15,"*,"&amp;N21&amp;",*")+COUNTIF(B17:C17,N21)+COUNTIF(B17:C17,"*,"&amp;N21&amp;",*")+COUNTIF(E17:F17,N21)+COUNTIF(E17:F17,"*,"&amp;N21&amp;",*")+COUNTIF(H17:I17,N21)+COUNTIF(H17:I17,"*,"&amp;N21&amp;",*")+COUNTIF(K17:L17,N21)+COUNTIF(K17:L17,"*,"&amp;N21&amp;",*")+COUNTIF(N17:O17,N21)+COUNTIF(N17:O17,"*,"&amp;N21&amp;",*"))</f>
        <v/>
      </c>
      <c r="O24" s="21">
        <f>IF(COUNTIF(B5:C5,O21)+COUNTIF(B5:C5,"*,"&amp;O21&amp;",*")+COUNTIF(E5:F5,O21)+COUNTIF(E5:F5,"*,"&amp;O21&amp;",*")+COUNTIF(H5:I5,O21)+COUNTIF(H5:I5,"*,"&amp;O21&amp;",*")+COUNTIF(K5:L5,O21)+COUNTIF(K5:L5,"*,"&amp;O21&amp;",*")+COUNTIF(N5:O5,O21)+COUNTIF(N5:O5,"*,"&amp;O21&amp;",*")+COUNTIF(B7:C7,O21)+COUNTIF(B7:C7,"*,"&amp;O21&amp;",*")+COUNTIF(E7:F7,O21)+COUNTIF(E7:F7,"*,"&amp;O21&amp;",*")+COUNTIF(H7:I7,O21)+COUNTIF(H7:I7,"*,"&amp;O21&amp;",*")+COUNTIF(K7:L7,O21)+COUNTIF(K7:L7,"*,"&amp;O21&amp;",*")+COUNTIF(N7:O7,O21)+COUNTIF(N7:O7,"*,"&amp;O21&amp;",*")+COUNTIF(B9:C9,O21)+COUNTIF(B9:C9,"*,"&amp;O21&amp;",*")+COUNTIF(E9:F9,O21)+COUNTIF(E9:F9,"*,"&amp;O21&amp;",*")+COUNTIF(H9:I9,O21)+COUNTIF(H9:I9,"*,"&amp;O21&amp;",*")+COUNTIF(K9:L9,O21)+COUNTIF(K9:L9,"*,"&amp;O21&amp;",*")+COUNTIF(N9:O9,O21)+COUNTIF(N9:O9,"*,"&amp;O21&amp;",*")+COUNTIF(B11:C11,O21)+COUNTIF(B11:C11,"*,"&amp;O21&amp;",*")+COUNTIF(E11:F11,O21)+COUNTIF(E11:F11,"*,"&amp;O21&amp;",*")+COUNTIF(H11:I11,O21)+COUNTIF(H11:I11,"*,"&amp;O21&amp;",*")+COUNTIF(K11:L11,O21)+COUNTIF(K11:L11,"*,"&amp;O21&amp;",*")+COUNTIF(N11:O11,O21)+COUNTIF(N11:O11,"*,"&amp;O21&amp;",*")+COUNTIF(B13:C13,O21)+COUNTIF(B13:C13,"*,"&amp;O21&amp;",*")+COUNTIF(E13:F13,O21)+COUNTIF(E13:F13,"*,"&amp;O21&amp;",*")+COUNTIF(H13:I13,O21)+COUNTIF(H13:I13,"*,"&amp;O21&amp;",*")+COUNTIF(K13:L13,O21)+COUNTIF(K13:L13,"*,"&amp;O21&amp;",*")+COUNTIF(N13:O13,O21)+COUNTIF(N13:O13,"*,"&amp;O21&amp;",*")+COUNTIF(B15:C15,O21)+COUNTIF(B15:C15,"*,"&amp;O21&amp;",*")+COUNTIF(E15:F15,O21)+COUNTIF(E15:F15,"*,"&amp;O21&amp;",*")+COUNTIF(H15:I15,O21)+COUNTIF(H15:I15,"*,"&amp;O21&amp;",*")+COUNTIF(K15:L15,O21)+COUNTIF(K15:L15,"*,"&amp;O21&amp;",*")+COUNTIF(N15:O15,O21)+COUNTIF(N15:O15,"*,"&amp;O21&amp;",*")+COUNTIF(B17:C17,O21)+COUNTIF(B17:C17,"*,"&amp;O21&amp;",*")+COUNTIF(E17:F17,O21)+COUNTIF(E17:F17,"*,"&amp;O21&amp;",*")+COUNTIF(H17:I17,O21)+COUNTIF(H17:I17,"*,"&amp;O21&amp;",*")+COUNTIF(K17:L17,O21)+COUNTIF(K17:L17,"*,"&amp;O21&amp;",*")+COUNTIF(N17:O17,O21)+COUNTIF(N17:O17,"*,"&amp;O21&amp;",*")=0,"",COUNTIF(B5:C5,O21)+COUNTIF(B5:C5,"*,"&amp;O21&amp;",*")+COUNTIF(E5:F5,O21)+COUNTIF(E5:F5,"*,"&amp;O21&amp;",*")+COUNTIF(H5:I5,O21)+COUNTIF(H5:I5,"*,"&amp;O21&amp;",*")+COUNTIF(K5:L5,O21)+COUNTIF(K5:L5,"*,"&amp;O21&amp;",*")+COUNTIF(N5:O5,O21)+COUNTIF(N5:O5,"*,"&amp;O21&amp;",*")+COUNTIF(B7:C7,O21)+COUNTIF(B7:C7,"*,"&amp;O21&amp;",*")+COUNTIF(E7:F7,O21)+COUNTIF(E7:F7,"*,"&amp;O21&amp;",*")+COUNTIF(H7:I7,O21)+COUNTIF(H7:I7,"*,"&amp;O21&amp;",*")+COUNTIF(K7:L7,O21)+COUNTIF(K7:L7,"*,"&amp;O21&amp;",*")+COUNTIF(N7:O7,O21)+COUNTIF(N7:O7,"*,"&amp;O21&amp;",*")+COUNTIF(B9:C9,O21)+COUNTIF(B9:C9,"*,"&amp;O21&amp;",*")+COUNTIF(E9:F9,O21)+COUNTIF(E9:F9,"*,"&amp;O21&amp;",*")+COUNTIF(H9:I9,O21)+COUNTIF(H9:I9,"*,"&amp;O21&amp;",*")+COUNTIF(K9:L9,O21)+COUNTIF(K9:L9,"*,"&amp;O21&amp;",*")+COUNTIF(N9:O9,O21)+COUNTIF(N9:O9,"*,"&amp;O21&amp;",*")+COUNTIF(B11:C11,O21)+COUNTIF(B11:C11,"*,"&amp;O21&amp;",*")+COUNTIF(E11:F11,O21)+COUNTIF(E11:F11,"*,"&amp;O21&amp;",*")+COUNTIF(H11:I11,O21)+COUNTIF(H11:I11,"*,"&amp;O21&amp;",*")+COUNTIF(K11:L11,O21)+COUNTIF(K11:L11,"*,"&amp;O21&amp;",*")+COUNTIF(N11:O11,O21)+COUNTIF(N11:O11,"*,"&amp;O21&amp;",*")+COUNTIF(B13:C13,O21)+COUNTIF(B13:C13,"*,"&amp;O21&amp;",*")+COUNTIF(E13:F13,O21)+COUNTIF(E13:F13,"*,"&amp;O21&amp;",*")+COUNTIF(H13:I13,O21)+COUNTIF(H13:I13,"*,"&amp;O21&amp;",*")+COUNTIF(K13:L13,O21)+COUNTIF(K13:L13,"*,"&amp;O21&amp;",*")+COUNTIF(N13:O13,O21)+COUNTIF(N13:O13,"*,"&amp;O21&amp;",*")+COUNTIF(B15:C15,O21)+COUNTIF(B15:C15,"*,"&amp;O21&amp;",*")+COUNTIF(E15:F15,O21)+COUNTIF(E15:F15,"*,"&amp;O21&amp;",*")+COUNTIF(H15:I15,O21)+COUNTIF(H15:I15,"*,"&amp;O21&amp;",*")+COUNTIF(K15:L15,O21)+COUNTIF(K15:L15,"*,"&amp;O21&amp;",*")+COUNTIF(N15:O15,O21)+COUNTIF(N15:O15,"*,"&amp;O21&amp;",*")+COUNTIF(B17:C17,O21)+COUNTIF(B17:C17,"*,"&amp;O21&amp;",*")+COUNTIF(E17:F17,O21)+COUNTIF(E17:F17,"*,"&amp;O21&amp;",*")+COUNTIF(H17:I17,O21)+COUNTIF(H17:I17,"*,"&amp;O21&amp;",*")+COUNTIF(K17:L17,O21)+COUNTIF(K17:L17,"*,"&amp;O21&amp;",*")+COUNTIF(N17:O17,O21)+COUNTIF(N17:O17,"*,"&amp;O21&amp;",*"))</f>
        <v/>
      </c>
      <c r="P24" s="22">
        <f>IF(SUM(B24:O24)=0,"",SUM(B24:O24))</f>
        <v/>
      </c>
    </row>
    <row r="25" spans="1:16" ht="13.5" customHeight="1" x14ac:dyDescent="0.2">
      <c r="A25" s="23" t="s">
        <v>52</v>
      </c>
      <c r="B25" s="26"/>
      <c r="C25" s="26"/>
      <c r="D25" s="26"/>
      <c r="E25" s="26"/>
      <c r="F25" s="26"/>
      <c r="G25" s="26"/>
      <c r="H25" s="26"/>
      <c r="I25" s="26"/>
      <c r="J25" s="26"/>
      <c r="K25" s="26"/>
      <c r="L25" s="26"/>
      <c r="M25" s="26"/>
      <c r="N25" s="26"/>
      <c r="O25" s="24"/>
      <c r="P25" s="18">
        <f>IF(SUM(B25:O25)=0,"",SUM(B25:O25))</f>
        <v/>
      </c>
    </row>
  </sheetData>
  <sheetProtection sheet="1" objects="1" scenarios="1"/>
  <mergeCells count="104">
    <mergeCell ref="N2:P2"/>
    <mergeCell ref="N3:P3"/>
    <mergeCell ref="A1:G1"/>
    <mergeCell ref="I1:J1"/>
    <mergeCell ref="K1:L1"/>
    <mergeCell ref="M1:N1"/>
    <mergeCell ref="O1:P1"/>
    <mergeCell ref="A2:A3"/>
    <mergeCell ref="B2:D2"/>
    <mergeCell ref="B3:D3"/>
    <mergeCell ref="E2:G2"/>
    <mergeCell ref="E3:G3"/>
    <mergeCell ref="A5:A6"/>
    <mergeCell ref="B5:C5"/>
    <mergeCell ref="B6:D6"/>
    <mergeCell ref="E5:F5"/>
    <mergeCell ref="E6:G6"/>
    <mergeCell ref="H2:J2"/>
    <mergeCell ref="H3:J3"/>
    <mergeCell ref="K2:M2"/>
    <mergeCell ref="K3:M3"/>
    <mergeCell ref="H5:I5"/>
    <mergeCell ref="H6:J6"/>
    <mergeCell ref="K5:L5"/>
    <mergeCell ref="K6:M6"/>
    <mergeCell ref="N5:O5"/>
    <mergeCell ref="N6:P6"/>
    <mergeCell ref="B4:D4"/>
    <mergeCell ref="E4:G4"/>
    <mergeCell ref="H4:J4"/>
    <mergeCell ref="K4:M4"/>
    <mergeCell ref="N4:P4"/>
    <mergeCell ref="A11:A12"/>
    <mergeCell ref="B11:C11"/>
    <mergeCell ref="B12:D12"/>
    <mergeCell ref="E11:F11"/>
    <mergeCell ref="E12:G12"/>
    <mergeCell ref="K7:L7"/>
    <mergeCell ref="K8:M8"/>
    <mergeCell ref="N7:O7"/>
    <mergeCell ref="N8:P8"/>
    <mergeCell ref="A9:A10"/>
    <mergeCell ref="B9:C9"/>
    <mergeCell ref="B10:D10"/>
    <mergeCell ref="E9:F9"/>
    <mergeCell ref="E10:G10"/>
    <mergeCell ref="H9:I9"/>
    <mergeCell ref="A7:A8"/>
    <mergeCell ref="B7:C7"/>
    <mergeCell ref="B8:D8"/>
    <mergeCell ref="E7:F7"/>
    <mergeCell ref="E8:G8"/>
    <mergeCell ref="H7:I7"/>
    <mergeCell ref="H8:J8"/>
    <mergeCell ref="H11:I11"/>
    <mergeCell ref="H12:J12"/>
    <mergeCell ref="K11:L11"/>
    <mergeCell ref="K12:M12"/>
    <mergeCell ref="H10:J10"/>
    <mergeCell ref="K9:L9"/>
    <mergeCell ref="K10:M10"/>
    <mergeCell ref="N9:O9"/>
    <mergeCell ref="N10:P10"/>
    <mergeCell ref="K13:L13"/>
    <mergeCell ref="K14:M14"/>
    <mergeCell ref="N13:O13"/>
    <mergeCell ref="N14:P14"/>
    <mergeCell ref="A13:A14"/>
    <mergeCell ref="B13:C13"/>
    <mergeCell ref="B14:D14"/>
    <mergeCell ref="E13:F13"/>
    <mergeCell ref="E14:G14"/>
    <mergeCell ref="H13:I13"/>
    <mergeCell ref="H14:J14"/>
    <mergeCell ref="H16:J16"/>
    <mergeCell ref="N11:O11"/>
    <mergeCell ref="N12:P12"/>
    <mergeCell ref="K15:L15"/>
    <mergeCell ref="K16:M16"/>
    <mergeCell ref="N15:O15"/>
    <mergeCell ref="N16:P16"/>
    <mergeCell ref="A17:A18"/>
    <mergeCell ref="B17:C17"/>
    <mergeCell ref="B18:D18"/>
    <mergeCell ref="E17:F17"/>
    <mergeCell ref="E18:G18"/>
    <mergeCell ref="A15:A16"/>
    <mergeCell ref="B15:C15"/>
    <mergeCell ref="B16:D16"/>
    <mergeCell ref="E15:F15"/>
    <mergeCell ref="E16:G16"/>
    <mergeCell ref="H15:I15"/>
    <mergeCell ref="B19:D19"/>
    <mergeCell ref="E19:G19"/>
    <mergeCell ref="H19:J19"/>
    <mergeCell ref="K19:M19"/>
    <mergeCell ref="N19:P19"/>
    <mergeCell ref="A23:A24"/>
    <mergeCell ref="H17:I17"/>
    <mergeCell ref="H18:J18"/>
    <mergeCell ref="K17:L17"/>
    <mergeCell ref="K18:M18"/>
    <mergeCell ref="N17:O17"/>
    <mergeCell ref="N18:P18"/>
  </mergeCells>
  <phoneticPr fontId="5"/>
  <dataValidations count="1">
    <dataValidation type="list" allowBlank="1" showInputMessage="1" sqref="D5 P17 M17 J17 G17 D17 P15 M15 J15 G15 D15 P13 M13 J13 G13 D13 P11 M11 J11 G11 D11 P9 M9 J9 G9 D9 P7 M7 J7 G7 D7 P5 M5 J5 G5" xr:uid="{98971C13-E443-4945-8CC3-BF2DB42E6EBE}">
      <formula1>"×,月1,月2,月3,月4,月5,月6,月7,火1,火2,火3,火4,火5,火6,火7,水1,水2,水3,水4,水5,水6,水7,木1,木2,木3,木4,木5,木6,木7,金1,金2,金3,金4,金5,金6,金7"</formula1>
    </dataValidation>
  </dataValidations>
  <printOptions horizontalCentered="1"/>
  <pageMargins left="0.78740157480314965" right="0.78740157480314965" top="0.78740157480314965" bottom="0.78740157480314965" header="0" footer="0"/>
  <pageSetup paperSize="9" scale="93" orientation="portrait"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xr:uid="{7B5AD983-FD41-4649-B2C5-54982E71DA28}">
          <x14:formula1>
            <xm:f>基本設定!$B$6:$B$20</xm:f>
          </x14:formula1>
          <xm:sqref>B5 N19 K19 H19 E19 B19 N17 K17 H17 E17 B17 N15 K15 H15 E15 B15 N13 K13 H13 E13 B13 N11 K11 H11 E11 B11 N9 K9 H9 E9 B9 N7 K7 H7 E7 B7 N5 K5 H5 E5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8B17E-87B7-4EFE-86E1-F03B92397EED}">
  <sheetPr codeName="Sheet4">
    <tabColor rgb="FFC0392B"/>
    <pageSetUpPr fitToPage="1"/>
  </sheetPr>
  <dimension ref="A1:P25"/>
  <sheetViews>
    <sheetView topLeftCell="A7" workbookViewId="0">
      <selection activeCell="O25" sqref="O25"/>
    </sheetView>
  </sheetViews>
  <sheetFormatPr defaultColWidth="8.77734375" defaultRowHeight="13.2" x14ac:dyDescent="0.2"/>
  <cols>
    <col min="1" max="1" width="5.44140625" customWidth="1"/>
    <col min="2" max="16" width="5.77734375" customWidth="1"/>
  </cols>
  <sheetData>
    <row r="1" spans="1:16" ht="50.1" customHeight="1" x14ac:dyDescent="0.2">
      <c r="A1" s="51" t="s">
        <v>34</v>
      </c>
      <c r="B1" s="52"/>
      <c r="C1" s="52"/>
      <c r="D1" s="52"/>
      <c r="E1" s="52"/>
      <c r="F1" s="52"/>
      <c r="G1" s="52"/>
      <c r="H1" s="8" t="s">
        <v>35</v>
      </c>
      <c r="I1" s="53" t="s">
        <v>36</v>
      </c>
      <c r="J1" s="54"/>
      <c r="K1" s="53" t="s">
        <v>37</v>
      </c>
      <c r="L1" s="54"/>
      <c r="M1" s="53" t="s">
        <v>38</v>
      </c>
      <c r="N1" s="54"/>
      <c r="O1" s="53" t="s">
        <v>39</v>
      </c>
      <c r="P1" s="54"/>
    </row>
    <row r="2" spans="1:16" ht="15.6" customHeight="1" x14ac:dyDescent="0.2">
      <c r="A2" s="55" t="s">
        <v>40</v>
      </c>
      <c r="B2" s="57" t="s">
        <v>29</v>
      </c>
      <c r="C2" s="57"/>
      <c r="D2" s="57"/>
      <c r="E2" s="59" t="s">
        <v>30</v>
      </c>
      <c r="F2" s="59"/>
      <c r="G2" s="59"/>
      <c r="H2" s="45" t="s">
        <v>31</v>
      </c>
      <c r="I2" s="45"/>
      <c r="J2" s="45"/>
      <c r="K2" s="47" t="s">
        <v>32</v>
      </c>
      <c r="L2" s="47"/>
      <c r="M2" s="47"/>
      <c r="N2" s="49" t="s">
        <v>33</v>
      </c>
      <c r="O2" s="49"/>
      <c r="P2" s="49"/>
    </row>
    <row r="3" spans="1:16" ht="15" customHeight="1" x14ac:dyDescent="0.2">
      <c r="A3" s="56"/>
      <c r="B3" s="58" t="s">
        <v>41</v>
      </c>
      <c r="C3" s="58"/>
      <c r="D3" s="58"/>
      <c r="E3" s="60" t="s">
        <v>42</v>
      </c>
      <c r="F3" s="60"/>
      <c r="G3" s="60"/>
      <c r="H3" s="46" t="s">
        <v>43</v>
      </c>
      <c r="I3" s="46"/>
      <c r="J3" s="46"/>
      <c r="K3" s="48" t="s">
        <v>44</v>
      </c>
      <c r="L3" s="48"/>
      <c r="M3" s="48"/>
      <c r="N3" s="50" t="s">
        <v>45</v>
      </c>
      <c r="O3" s="50"/>
      <c r="P3" s="50"/>
    </row>
    <row r="4" spans="1:16" ht="54.9" customHeight="1" x14ac:dyDescent="0.2">
      <c r="A4" s="9" t="s">
        <v>46</v>
      </c>
      <c r="B4" s="40"/>
      <c r="C4" s="40"/>
      <c r="D4" s="40"/>
      <c r="E4" s="41"/>
      <c r="F4" s="41"/>
      <c r="G4" s="41"/>
      <c r="H4" s="42"/>
      <c r="I4" s="42"/>
      <c r="J4" s="42"/>
      <c r="K4" s="43"/>
      <c r="L4" s="43"/>
      <c r="M4" s="43"/>
      <c r="N4" s="44"/>
      <c r="O4" s="44"/>
      <c r="P4" s="44"/>
    </row>
    <row r="5" spans="1:16" ht="18" customHeight="1" x14ac:dyDescent="0.2">
      <c r="A5" s="39">
        <v>1</v>
      </c>
      <c r="B5" s="37"/>
      <c r="C5" s="37"/>
      <c r="D5" s="25"/>
      <c r="E5" s="37"/>
      <c r="F5" s="37"/>
      <c r="G5" s="25"/>
      <c r="H5" s="37"/>
      <c r="I5" s="37"/>
      <c r="J5" s="25"/>
      <c r="K5" s="37"/>
      <c r="L5" s="37"/>
      <c r="M5" s="25"/>
      <c r="N5" s="37"/>
      <c r="O5" s="37"/>
      <c r="P5" s="25"/>
    </row>
    <row r="6" spans="1:16" ht="62.1" customHeight="1" x14ac:dyDescent="0.2">
      <c r="A6" s="39"/>
      <c r="B6" s="38"/>
      <c r="C6" s="38"/>
      <c r="D6" s="38"/>
      <c r="E6" s="38"/>
      <c r="F6" s="38"/>
      <c r="G6" s="38"/>
      <c r="H6" s="38"/>
      <c r="I6" s="38"/>
      <c r="J6" s="38"/>
      <c r="K6" s="38"/>
      <c r="L6" s="38"/>
      <c r="M6" s="38"/>
      <c r="N6" s="38"/>
      <c r="O6" s="38"/>
      <c r="P6" s="38"/>
    </row>
    <row r="7" spans="1:16" ht="18" customHeight="1" x14ac:dyDescent="0.2">
      <c r="A7" s="39">
        <v>2</v>
      </c>
      <c r="B7" s="37"/>
      <c r="C7" s="37"/>
      <c r="D7" s="25"/>
      <c r="E7" s="37"/>
      <c r="F7" s="37"/>
      <c r="G7" s="25"/>
      <c r="H7" s="37"/>
      <c r="I7" s="37"/>
      <c r="J7" s="25"/>
      <c r="K7" s="37"/>
      <c r="L7" s="37"/>
      <c r="M7" s="25"/>
      <c r="N7" s="37"/>
      <c r="O7" s="37"/>
      <c r="P7" s="25"/>
    </row>
    <row r="8" spans="1:16" ht="62.1" customHeight="1" x14ac:dyDescent="0.2">
      <c r="A8" s="39"/>
      <c r="B8" s="38"/>
      <c r="C8" s="38"/>
      <c r="D8" s="38"/>
      <c r="E8" s="38"/>
      <c r="F8" s="38"/>
      <c r="G8" s="38"/>
      <c r="H8" s="38"/>
      <c r="I8" s="38"/>
      <c r="J8" s="38"/>
      <c r="K8" s="38"/>
      <c r="L8" s="38"/>
      <c r="M8" s="38"/>
      <c r="N8" s="38"/>
      <c r="O8" s="38"/>
      <c r="P8" s="38"/>
    </row>
    <row r="9" spans="1:16" ht="18" customHeight="1" x14ac:dyDescent="0.2">
      <c r="A9" s="39">
        <v>3</v>
      </c>
      <c r="B9" s="37"/>
      <c r="C9" s="37"/>
      <c r="D9" s="25"/>
      <c r="E9" s="37"/>
      <c r="F9" s="37"/>
      <c r="G9" s="25"/>
      <c r="H9" s="37"/>
      <c r="I9" s="37"/>
      <c r="J9" s="25"/>
      <c r="K9" s="37"/>
      <c r="L9" s="37"/>
      <c r="M9" s="25"/>
      <c r="N9" s="37"/>
      <c r="O9" s="37"/>
      <c r="P9" s="25"/>
    </row>
    <row r="10" spans="1:16" ht="62.1" customHeight="1" x14ac:dyDescent="0.2">
      <c r="A10" s="39"/>
      <c r="B10" s="38"/>
      <c r="C10" s="38"/>
      <c r="D10" s="38"/>
      <c r="E10" s="38"/>
      <c r="F10" s="38"/>
      <c r="G10" s="38"/>
      <c r="H10" s="38"/>
      <c r="I10" s="38"/>
      <c r="J10" s="38"/>
      <c r="K10" s="38"/>
      <c r="L10" s="38"/>
      <c r="M10" s="38"/>
      <c r="N10" s="38"/>
      <c r="O10" s="38"/>
      <c r="P10" s="38"/>
    </row>
    <row r="11" spans="1:16" ht="18" customHeight="1" x14ac:dyDescent="0.2">
      <c r="A11" s="39">
        <v>4</v>
      </c>
      <c r="B11" s="37"/>
      <c r="C11" s="37"/>
      <c r="D11" s="25"/>
      <c r="E11" s="37"/>
      <c r="F11" s="37"/>
      <c r="G11" s="25"/>
      <c r="H11" s="37"/>
      <c r="I11" s="37"/>
      <c r="J11" s="25"/>
      <c r="K11" s="37"/>
      <c r="L11" s="37"/>
      <c r="M11" s="25"/>
      <c r="N11" s="37"/>
      <c r="O11" s="37"/>
      <c r="P11" s="25"/>
    </row>
    <row r="12" spans="1:16" ht="62.1" customHeight="1" x14ac:dyDescent="0.2">
      <c r="A12" s="39"/>
      <c r="B12" s="38"/>
      <c r="C12" s="38"/>
      <c r="D12" s="38"/>
      <c r="E12" s="38"/>
      <c r="F12" s="38"/>
      <c r="G12" s="38"/>
      <c r="H12" s="38"/>
      <c r="I12" s="38"/>
      <c r="J12" s="38"/>
      <c r="K12" s="38"/>
      <c r="L12" s="38"/>
      <c r="M12" s="38"/>
      <c r="N12" s="38"/>
      <c r="O12" s="38"/>
      <c r="P12" s="38"/>
    </row>
    <row r="13" spans="1:16" ht="18" customHeight="1" x14ac:dyDescent="0.2">
      <c r="A13" s="39">
        <v>5</v>
      </c>
      <c r="B13" s="37"/>
      <c r="C13" s="37"/>
      <c r="D13" s="25"/>
      <c r="E13" s="37"/>
      <c r="F13" s="37"/>
      <c r="G13" s="25"/>
      <c r="H13" s="37"/>
      <c r="I13" s="37"/>
      <c r="J13" s="25"/>
      <c r="K13" s="37"/>
      <c r="L13" s="37"/>
      <c r="M13" s="25"/>
      <c r="N13" s="37"/>
      <c r="O13" s="37"/>
      <c r="P13" s="25"/>
    </row>
    <row r="14" spans="1:16" ht="62.1" customHeight="1" x14ac:dyDescent="0.2">
      <c r="A14" s="39"/>
      <c r="B14" s="38"/>
      <c r="C14" s="38"/>
      <c r="D14" s="38"/>
      <c r="E14" s="38"/>
      <c r="F14" s="38"/>
      <c r="G14" s="38"/>
      <c r="H14" s="38"/>
      <c r="I14" s="38"/>
      <c r="J14" s="38"/>
      <c r="K14" s="38"/>
      <c r="L14" s="38"/>
      <c r="M14" s="38"/>
      <c r="N14" s="38"/>
      <c r="O14" s="38"/>
      <c r="P14" s="38"/>
    </row>
    <row r="15" spans="1:16" ht="18" customHeight="1" x14ac:dyDescent="0.2">
      <c r="A15" s="39">
        <v>6</v>
      </c>
      <c r="B15" s="37"/>
      <c r="C15" s="37"/>
      <c r="D15" s="25"/>
      <c r="E15" s="37"/>
      <c r="F15" s="37"/>
      <c r="G15" s="25"/>
      <c r="H15" s="37"/>
      <c r="I15" s="37"/>
      <c r="J15" s="25"/>
      <c r="K15" s="37"/>
      <c r="L15" s="37"/>
      <c r="M15" s="25"/>
      <c r="N15" s="37"/>
      <c r="O15" s="37"/>
      <c r="P15" s="25"/>
    </row>
    <row r="16" spans="1:16" ht="62.1" customHeight="1" x14ac:dyDescent="0.2">
      <c r="A16" s="39"/>
      <c r="B16" s="38"/>
      <c r="C16" s="38"/>
      <c r="D16" s="38"/>
      <c r="E16" s="38"/>
      <c r="F16" s="38"/>
      <c r="G16" s="38"/>
      <c r="H16" s="38"/>
      <c r="I16" s="38"/>
      <c r="J16" s="38"/>
      <c r="K16" s="38"/>
      <c r="L16" s="38"/>
      <c r="M16" s="38"/>
      <c r="N16" s="38"/>
      <c r="O16" s="38"/>
      <c r="P16" s="38"/>
    </row>
    <row r="17" spans="1:16" ht="18" customHeight="1" x14ac:dyDescent="0.2">
      <c r="A17" s="39">
        <v>7</v>
      </c>
      <c r="B17" s="37"/>
      <c r="C17" s="37"/>
      <c r="D17" s="25"/>
      <c r="E17" s="37"/>
      <c r="F17" s="37"/>
      <c r="G17" s="25"/>
      <c r="H17" s="37"/>
      <c r="I17" s="37"/>
      <c r="J17" s="25"/>
      <c r="K17" s="37"/>
      <c r="L17" s="37"/>
      <c r="M17" s="25"/>
      <c r="N17" s="37"/>
      <c r="O17" s="37"/>
      <c r="P17" s="25"/>
    </row>
    <row r="18" spans="1:16" ht="62.1" customHeight="1" x14ac:dyDescent="0.2">
      <c r="A18" s="39"/>
      <c r="B18" s="38"/>
      <c r="C18" s="38"/>
      <c r="D18" s="38"/>
      <c r="E18" s="38"/>
      <c r="F18" s="38"/>
      <c r="G18" s="38"/>
      <c r="H18" s="38"/>
      <c r="I18" s="38"/>
      <c r="J18" s="38"/>
      <c r="K18" s="38"/>
      <c r="L18" s="38"/>
      <c r="M18" s="38"/>
      <c r="N18" s="38"/>
      <c r="O18" s="38"/>
      <c r="P18" s="38"/>
    </row>
    <row r="19" spans="1:16" ht="54.9" customHeight="1" x14ac:dyDescent="0.2">
      <c r="A19" s="10" t="s">
        <v>47</v>
      </c>
      <c r="B19" s="34"/>
      <c r="C19" s="34"/>
      <c r="D19" s="34"/>
      <c r="E19" s="34"/>
      <c r="F19" s="34"/>
      <c r="G19" s="34"/>
      <c r="H19" s="34"/>
      <c r="I19" s="34"/>
      <c r="J19" s="34"/>
      <c r="K19" s="34"/>
      <c r="L19" s="34"/>
      <c r="M19" s="34"/>
      <c r="N19" s="34"/>
      <c r="O19" s="34"/>
      <c r="P19" s="34"/>
    </row>
    <row r="20" spans="1:16" hidden="1" x14ac:dyDescent="0.2">
      <c r="A20" s="11"/>
      <c r="B20" s="11"/>
      <c r="C20" s="11"/>
      <c r="D20" s="11"/>
      <c r="E20" s="11"/>
      <c r="F20" s="11"/>
      <c r="G20" s="11"/>
      <c r="H20" s="11"/>
      <c r="I20" s="11"/>
      <c r="J20" s="11"/>
      <c r="K20" s="11"/>
      <c r="L20" s="11"/>
      <c r="M20" s="11"/>
      <c r="N20" s="11"/>
      <c r="O20" s="11"/>
      <c r="P20" s="11"/>
    </row>
    <row r="21" spans="1:16" ht="13.5" customHeight="1" x14ac:dyDescent="0.2">
      <c r="A21" s="12" t="s">
        <v>48</v>
      </c>
      <c r="B21" s="12">
        <f>IF(基本設定!B6="","",基本設定!B6)</f>
      </c>
      <c r="C21" s="12">
        <f>IF(基本設定!B7="","",基本設定!B7)</f>
      </c>
      <c r="D21" s="12">
        <f>IF(基本設定!B8="","",基本設定!B8)</f>
      </c>
      <c r="E21" s="12">
        <f>IF(基本設定!B9="","",基本設定!B9)</f>
      </c>
      <c r="F21" s="12">
        <f>IF(基本設定!B10="","",基本設定!B10)</f>
      </c>
      <c r="G21" s="12">
        <f>IF(基本設定!B11="","",基本設定!B11)</f>
      </c>
      <c r="H21" s="12"/>
      <c r="I21" s="12"/>
      <c r="J21" s="12"/>
      <c r="K21" s="12"/>
      <c r="L21" s="12"/>
      <c r="M21" s="13" t="s">
        <v>53</v>
      </c>
      <c r="N21" s="12" t="s">
        <v>20</v>
      </c>
      <c r="O21" s="12" t="s">
        <v>22</v>
      </c>
      <c r="P21" s="14" t="s">
        <v>49</v>
      </c>
    </row>
    <row r="22" spans="1:16" ht="13.5" customHeight="1" x14ac:dyDescent="0.2">
      <c r="A22" s="15" t="s">
        <v>50</v>
      </c>
      <c r="B22" s="16">
        <f>IF(B21="","",IFERROR(VALUE(VLOOKUP(B21,基本設定!$A$23:$B$35,2,FALSE())),""))</f>
      </c>
      <c r="C22" s="16">
        <f>IF(C21="","",IFERROR(VALUE(VLOOKUP(C21,基本設定!$A$23:$B$35,2,FALSE())),""))</f>
      </c>
      <c r="D22" s="16">
        <f>IF(D21="","",IFERROR(VALUE(VLOOKUP(D21,基本設定!$A$23:$B$35,2,FALSE())),""))</f>
      </c>
      <c r="E22" s="16">
        <f>IF(E21="","",IFERROR(VALUE(VLOOKUP(E21,基本設定!$A$23:$B$35,2,FALSE())),""))</f>
      </c>
      <c r="F22" s="16">
        <f>IF(F21="","",IFERROR(VALUE(VLOOKUP(F21,基本設定!$A$23:$B$35,2,FALSE())),""))</f>
      </c>
      <c r="G22" s="16">
        <f>IF(G21="","",IFERROR(VALUE(VLOOKUP(G21,基本設定!$A$23:$B$35,2,FALSE())),""))</f>
      </c>
      <c r="H22" s="17"/>
      <c r="I22" s="17"/>
      <c r="J22" s="17"/>
      <c r="K22" s="17"/>
      <c r="L22" s="17"/>
      <c r="M22" s="17">
        <v>1</v>
      </c>
      <c r="N22" s="17">
        <f>IF(N21="","",IFERROR(VALUE(VLOOKUP(N21,基本設定!$A$23:$B$35,2,FALSE())),""))</f>
      </c>
      <c r="O22" s="17">
        <f>IF(O21="","",IFERROR(VALUE(VLOOKUP(O21,基本設定!$A$23:$B$35,2,FALSE())),""))</f>
      </c>
      <c r="P22" s="18">
        <f>IF(SUM(B22:O22)=0,"",SUM(B22:O22))</f>
      </c>
    </row>
    <row r="23" spans="1:16" ht="13.5" customHeight="1" x14ac:dyDescent="0.2">
      <c r="A23" s="35" t="s">
        <v>51</v>
      </c>
      <c r="B23" s="19">
        <f>IF(B21="","",IF(B24="","",B24-(SUMPRODUCT((B5:C5=B21)*(D5="×"))+SUMPRODUCT((E5:F5=B21)*(G5="×"))+SUMPRODUCT((H5:I5=B21)*(J5="×"))+SUMPRODUCT((K5:L5=B21)*(M5="×"))+SUMPRODUCT((N5:O5=B21)*(P5="×"))+SUMPRODUCT((B7:C7=B21)*(D7="×"))+SUMPRODUCT((E7:F7=B21)*(G7="×"))+SUMPRODUCT((H7:I7=B21)*(J7="×"))+SUMPRODUCT((K7:L7=B21)*(M7="×"))+SUMPRODUCT((N7:O7=B21)*(P7="×"))+SUMPRODUCT((B9:C9=B21)*(D9="×"))+SUMPRODUCT((E9:F9=B21)*(G9="×"))+SUMPRODUCT((H9:I9=B21)*(J9="×"))+SUMPRODUCT((K9:L9=B21)*(M9="×"))+SUMPRODUCT((N9:O9=B21)*(P9="×"))+SUMPRODUCT((B11:C11=B21)*(D11="×"))+SUMPRODUCT((E11:F11=B21)*(G11="×"))+SUMPRODUCT((H11:I11=B21)*(J11="×"))+SUMPRODUCT((K11:L11=B21)*(M11="×"))+SUMPRODUCT((N11:O11=B21)*(P11="×"))+SUMPRODUCT((B13:C13=B21)*(D13="×"))+SUMPRODUCT((E13:F13=B21)*(G13="×"))+SUMPRODUCT((H13:I13=B21)*(J13="×"))+SUMPRODUCT((K13:L13=B21)*(M13="×"))+SUMPRODUCT((N13:O13=B21)*(P13="×"))+SUMPRODUCT((B15:C15=B21)*(D15="×"))+SUMPRODUCT((E15:F15=B21)*(G15="×"))+SUMPRODUCT((H15:I15=B21)*(J15="×"))+SUMPRODUCT((K15:L15=B21)*(M15="×"))+SUMPRODUCT((N15:O15=B21)*(P15="×"))+SUMPRODUCT((B17:C17=B21)*(D17="×"))+SUMPRODUCT((E17:F17=B21)*(G17="×"))+SUMPRODUCT((H17:I17=B21)*(J17="×"))+SUMPRODUCT((K17:L17=B21)*(M17="×"))+SUMPRODUCT((N17:O17=B21)*(P17="×")))))</f>
        <v/>
      </c>
      <c r="C23" s="19">
        <f>IF(C21="","",IF(C24="","",C24-(SUMPRODUCT((B5:C5=C21)*(D5="×"))+SUMPRODUCT((E5:F5=C21)*(G5="×"))+SUMPRODUCT((H5:I5=C21)*(J5="×"))+SUMPRODUCT((K5:L5=C21)*(M5="×"))+SUMPRODUCT((N5:O5=C21)*(P5="×"))+SUMPRODUCT((B7:C7=C21)*(D7="×"))+SUMPRODUCT((E7:F7=C21)*(G7="×"))+SUMPRODUCT((H7:I7=C21)*(J7="×"))+SUMPRODUCT((K7:L7=C21)*(M7="×"))+SUMPRODUCT((N7:O7=C21)*(P7="×"))+SUMPRODUCT((B9:C9=C21)*(D9="×"))+SUMPRODUCT((E9:F9=C21)*(G9="×"))+SUMPRODUCT((H9:I9=C21)*(J9="×"))+SUMPRODUCT((K9:L9=C21)*(M9="×"))+SUMPRODUCT((N9:O9=C21)*(P9="×"))+SUMPRODUCT((B11:C11=C21)*(D11="×"))+SUMPRODUCT((E11:F11=C21)*(G11="×"))+SUMPRODUCT((H11:I11=C21)*(J11="×"))+SUMPRODUCT((K11:L11=C21)*(M11="×"))+SUMPRODUCT((N11:O11=C21)*(P11="×"))+SUMPRODUCT((B13:C13=C21)*(D13="×"))+SUMPRODUCT((E13:F13=C21)*(G13="×"))+SUMPRODUCT((H13:I13=C21)*(J13="×"))+SUMPRODUCT((K13:L13=C21)*(M13="×"))+SUMPRODUCT((N13:O13=C21)*(P13="×"))+SUMPRODUCT((B15:C15=C21)*(D15="×"))+SUMPRODUCT((E15:F15=C21)*(G15="×"))+SUMPRODUCT((H15:I15=C21)*(J15="×"))+SUMPRODUCT((K15:L15=C21)*(M15="×"))+SUMPRODUCT((N15:O15=C21)*(P15="×"))+SUMPRODUCT((B17:C17=C21)*(D17="×"))+SUMPRODUCT((E17:F17=C21)*(G17="×"))+SUMPRODUCT((H17:I17=C21)*(J17="×"))+SUMPRODUCT((K17:L17=C21)*(M17="×"))+SUMPRODUCT((N17:O17=C21)*(P17="×")))))</f>
        <v/>
      </c>
      <c r="D23" s="19">
        <f>IF(D21="","",IF(D24="","",D24-(SUMPRODUCT((B5:C5=D21)*(D5="×"))+SUMPRODUCT((E5:F5=D21)*(G5="×"))+SUMPRODUCT((H5:I5=D21)*(J5="×"))+SUMPRODUCT((K5:L5=D21)*(M5="×"))+SUMPRODUCT((N5:O5=D21)*(P5="×"))+SUMPRODUCT((B7:C7=D21)*(D7="×"))+SUMPRODUCT((E7:F7=D21)*(G7="×"))+SUMPRODUCT((H7:I7=D21)*(J7="×"))+SUMPRODUCT((K7:L7=D21)*(M7="×"))+SUMPRODUCT((N7:O7=D21)*(P7="×"))+SUMPRODUCT((B9:C9=D21)*(D9="×"))+SUMPRODUCT((E9:F9=D21)*(G9="×"))+SUMPRODUCT((H9:I9=D21)*(J9="×"))+SUMPRODUCT((K9:L9=D21)*(M9="×"))+SUMPRODUCT((N9:O9=D21)*(P9="×"))+SUMPRODUCT((B11:C11=D21)*(D11="×"))+SUMPRODUCT((E11:F11=D21)*(G11="×"))+SUMPRODUCT((H11:I11=D21)*(J11="×"))+SUMPRODUCT((K11:L11=D21)*(M11="×"))+SUMPRODUCT((N11:O11=D21)*(P11="×"))+SUMPRODUCT((B13:C13=D21)*(D13="×"))+SUMPRODUCT((E13:F13=D21)*(G13="×"))+SUMPRODUCT((H13:I13=D21)*(J13="×"))+SUMPRODUCT((K13:L13=D21)*(M13="×"))+SUMPRODUCT((N13:O13=D21)*(P13="×"))+SUMPRODUCT((B15:C15=D21)*(D15="×"))+SUMPRODUCT((E15:F15=D21)*(G15="×"))+SUMPRODUCT((H15:I15=D21)*(J15="×"))+SUMPRODUCT((K15:L15=D21)*(M15="×"))+SUMPRODUCT((N15:O15=D21)*(P15="×"))+SUMPRODUCT((B17:C17=D21)*(D17="×"))+SUMPRODUCT((E17:F17=D21)*(G17="×"))+SUMPRODUCT((H17:I17=D21)*(J17="×"))+SUMPRODUCT((K17:L17=D21)*(M17="×"))+SUMPRODUCT((N17:O17=D21)*(P17="×")))))</f>
        <v/>
      </c>
      <c r="E23" s="19">
        <f>IF(E21="","",IF(E24="","",E24-(SUMPRODUCT((B5:C5=E21)*(D5="×"))+SUMPRODUCT((E5:F5=E21)*(G5="×"))+SUMPRODUCT((H5:I5=E21)*(J5="×"))+SUMPRODUCT((K5:L5=E21)*(M5="×"))+SUMPRODUCT((N5:O5=E21)*(P5="×"))+SUMPRODUCT((B7:C7=E21)*(D7="×"))+SUMPRODUCT((E7:F7=E21)*(G7="×"))+SUMPRODUCT((H7:I7=E21)*(J7="×"))+SUMPRODUCT((K7:L7=E21)*(M7="×"))+SUMPRODUCT((N7:O7=E21)*(P7="×"))+SUMPRODUCT((B9:C9=E21)*(D9="×"))+SUMPRODUCT((E9:F9=E21)*(G9="×"))+SUMPRODUCT((H9:I9=E21)*(J9="×"))+SUMPRODUCT((K9:L9=E21)*(M9="×"))+SUMPRODUCT((N9:O9=E21)*(P9="×"))+SUMPRODUCT((B11:C11=E21)*(D11="×"))+SUMPRODUCT((E11:F11=E21)*(G11="×"))+SUMPRODUCT((H11:I11=E21)*(J11="×"))+SUMPRODUCT((K11:L11=E21)*(M11="×"))+SUMPRODUCT((N11:O11=E21)*(P11="×"))+SUMPRODUCT((B13:C13=E21)*(D13="×"))+SUMPRODUCT((E13:F13=E21)*(G13="×"))+SUMPRODUCT((H13:I13=E21)*(J13="×"))+SUMPRODUCT((K13:L13=E21)*(M13="×"))+SUMPRODUCT((N13:O13=E21)*(P13="×"))+SUMPRODUCT((B15:C15=E21)*(D15="×"))+SUMPRODUCT((E15:F15=E21)*(G15="×"))+SUMPRODUCT((H15:I15=E21)*(J15="×"))+SUMPRODUCT((K15:L15=E21)*(M15="×"))+SUMPRODUCT((N15:O15=E21)*(P15="×"))+SUMPRODUCT((B17:C17=E21)*(D17="×"))+SUMPRODUCT((E17:F17=E21)*(G17="×"))+SUMPRODUCT((H17:I17=E21)*(J17="×"))+SUMPRODUCT((K17:L17=E21)*(M17="×"))+SUMPRODUCT((N17:O17=E21)*(P17="×")))))</f>
        <v/>
      </c>
      <c r="F23" s="19">
        <f>IF(F21="","",IF(F24="","",F24-(SUMPRODUCT((B5:C5=F21)*(D5="×"))+SUMPRODUCT((E5:F5=F21)*(G5="×"))+SUMPRODUCT((H5:I5=F21)*(J5="×"))+SUMPRODUCT((K5:L5=F21)*(M5="×"))+SUMPRODUCT((N5:O5=F21)*(P5="×"))+SUMPRODUCT((B7:C7=F21)*(D7="×"))+SUMPRODUCT((E7:F7=F21)*(G7="×"))+SUMPRODUCT((H7:I7=F21)*(J7="×"))+SUMPRODUCT((K7:L7=F21)*(M7="×"))+SUMPRODUCT((N7:O7=F21)*(P7="×"))+SUMPRODUCT((B9:C9=F21)*(D9="×"))+SUMPRODUCT((E9:F9=F21)*(G9="×"))+SUMPRODUCT((H9:I9=F21)*(J9="×"))+SUMPRODUCT((K9:L9=F21)*(M9="×"))+SUMPRODUCT((N9:O9=F21)*(P9="×"))+SUMPRODUCT((B11:C11=F21)*(D11="×"))+SUMPRODUCT((E11:F11=F21)*(G11="×"))+SUMPRODUCT((H11:I11=F21)*(J11="×"))+SUMPRODUCT((K11:L11=F21)*(M11="×"))+SUMPRODUCT((N11:O11=F21)*(P11="×"))+SUMPRODUCT((B13:C13=F21)*(D13="×"))+SUMPRODUCT((E13:F13=F21)*(G13="×"))+SUMPRODUCT((H13:I13=F21)*(J13="×"))+SUMPRODUCT((K13:L13=F21)*(M13="×"))+SUMPRODUCT((N13:O13=F21)*(P13="×"))+SUMPRODUCT((B15:C15=F21)*(D15="×"))+SUMPRODUCT((E15:F15=F21)*(G15="×"))+SUMPRODUCT((H15:I15=F21)*(J15="×"))+SUMPRODUCT((K15:L15=F21)*(M15="×"))+SUMPRODUCT((N15:O15=F21)*(P15="×"))+SUMPRODUCT((B17:C17=F21)*(D17="×"))+SUMPRODUCT((E17:F17=F21)*(G17="×"))+SUMPRODUCT((H17:I17=F21)*(J17="×"))+SUMPRODUCT((K17:L17=F21)*(M17="×"))+SUMPRODUCT((N17:O17=F21)*(P17="×")))))</f>
        <v/>
      </c>
      <c r="G23" s="19">
        <f>IF(G21="","",IF(G24="","",G24-(SUMPRODUCT((B5:C5=G21)*(D5="×"))+SUMPRODUCT((E5:F5=G21)*(G5="×"))+SUMPRODUCT((H5:I5=G21)*(J5="×"))+SUMPRODUCT((K5:L5=G21)*(M5="×"))+SUMPRODUCT((N5:O5=G21)*(P5="×"))+SUMPRODUCT((B7:C7=G21)*(D7="×"))+SUMPRODUCT((E7:F7=G21)*(G7="×"))+SUMPRODUCT((H7:I7=G21)*(J7="×"))+SUMPRODUCT((K7:L7=G21)*(M7="×"))+SUMPRODUCT((N7:O7=G21)*(P7="×"))+SUMPRODUCT((B9:C9=G21)*(D9="×"))+SUMPRODUCT((E9:F9=G21)*(G9="×"))+SUMPRODUCT((H9:I9=G21)*(J9="×"))+SUMPRODUCT((K9:L9=G21)*(M9="×"))+SUMPRODUCT((N9:O9=G21)*(P9="×"))+SUMPRODUCT((B11:C11=G21)*(D11="×"))+SUMPRODUCT((E11:F11=G21)*(G11="×"))+SUMPRODUCT((H11:I11=G21)*(J11="×"))+SUMPRODUCT((K11:L11=G21)*(M11="×"))+SUMPRODUCT((N11:O11=G21)*(P11="×"))+SUMPRODUCT((B13:C13=G21)*(D13="×"))+SUMPRODUCT((E13:F13=G21)*(G13="×"))+SUMPRODUCT((H13:I13=G21)*(J13="×"))+SUMPRODUCT((K13:L13=G21)*(M13="×"))+SUMPRODUCT((N13:O13=G21)*(P13="×"))+SUMPRODUCT((B15:C15=G21)*(D15="×"))+SUMPRODUCT((E15:F15=G21)*(G15="×"))+SUMPRODUCT((H15:I15=G21)*(J15="×"))+SUMPRODUCT((K15:L15=G21)*(M15="×"))+SUMPRODUCT((N15:O15=G21)*(P15="×"))+SUMPRODUCT((B17:C17=G21)*(D17="×"))+SUMPRODUCT((E17:F17=G21)*(G17="×"))+SUMPRODUCT((H17:I17=G21)*(J17="×"))+SUMPRODUCT((K17:L17=G21)*(M17="×"))+SUMPRODUCT((N17:O17=G21)*(P17="×")))))</f>
        <v/>
      </c>
      <c r="H23" s="19"/>
      <c r="I23" s="19"/>
      <c r="J23" s="19"/>
      <c r="K23" s="19"/>
      <c r="L23" s="19"/>
      <c r="M23" s="19">
        <f>IF(M24="","",M24-(SUMPRODUCT((B5:C5="特活")*(D5="×"))+SUMPRODUCT((B5:C5="学活")*(D5="×"))+SUMPRODUCT((E5:F5="特活")*(G5="×"))+SUMPRODUCT((E5:F5="学活")*(G5="×"))+SUMPRODUCT((H5:I5="特活")*(J5="×"))+SUMPRODUCT((H5:I5="学活")*(J5="×"))+SUMPRODUCT((K5:L5="特活")*(M5="×"))+SUMPRODUCT((K5:L5="学活")*(M5="×"))+SUMPRODUCT((N5:O5="特活")*(P5="×"))+SUMPRODUCT((N5:O5="学活")*(P5="×"))+SUMPRODUCT((B7:C7="特活")*(D7="×"))+SUMPRODUCT((B7:C7="学活")*(D7="×"))+SUMPRODUCT((E7:F7="特活")*(G7="×"))+SUMPRODUCT((E7:F7="学活")*(G7="×"))+SUMPRODUCT((H7:I7="特活")*(J7="×"))+SUMPRODUCT((H7:I7="学活")*(J7="×"))+SUMPRODUCT((K7:L7="特活")*(M7="×"))+SUMPRODUCT((K7:L7="学活")*(M7="×"))+SUMPRODUCT((N7:O7="特活")*(P7="×"))+SUMPRODUCT((N7:O7="学活")*(P7="×"))+SUMPRODUCT((B9:C9="特活")*(D9="×"))+SUMPRODUCT((B9:C9="学活")*(D9="×"))+SUMPRODUCT((E9:F9="特活")*(G9="×"))+SUMPRODUCT((E9:F9="学活")*(G9="×"))+SUMPRODUCT((H9:I9="特活")*(J9="×"))+SUMPRODUCT((H9:I9="学活")*(J9="×"))+SUMPRODUCT((K9:L9="特活")*(M9="×"))+SUMPRODUCT((K9:L9="学活")*(M9="×"))+SUMPRODUCT((N9:O9="特活")*(P9="×"))+SUMPRODUCT((N9:O9="学活")*(P9="×"))+SUMPRODUCT((B11:C11="特活")*(D11="×"))+SUMPRODUCT((B11:C11="学活")*(D11="×"))+SUMPRODUCT((E11:F11="特活")*(G11="×"))+SUMPRODUCT((E11:F11="学活")*(G11="×"))+SUMPRODUCT((H11:I11="特活")*(J11="×"))+SUMPRODUCT((H11:I11="学活")*(J11="×"))+SUMPRODUCT((K11:L11="特活")*(M11="×"))+SUMPRODUCT((K11:L11="学活")*(M11="×"))+SUMPRODUCT((N11:O11="特活")*(P11="×"))+SUMPRODUCT((N11:O11="学活")*(P11="×"))+SUMPRODUCT((B13:C13="特活")*(D13="×"))+SUMPRODUCT((B13:C13="学活")*(D13="×"))+SUMPRODUCT((E13:F13="特活")*(G13="×"))+SUMPRODUCT((E13:F13="学活")*(G13="×"))+SUMPRODUCT((H13:I13="特活")*(J13="×"))+SUMPRODUCT((H13:I13="学活")*(J13="×"))+SUMPRODUCT((K13:L13="特活")*(M13="×"))+SUMPRODUCT((K13:L13="学活")*(M13="×"))+SUMPRODUCT((N13:O13="特活")*(P13="×"))+SUMPRODUCT((N13:O13="学活")*(P13="×"))+SUMPRODUCT((B15:C15="特活")*(D15="×"))+SUMPRODUCT((B15:C15="学活")*(D15="×"))+SUMPRODUCT((E15:F15="特活")*(G15="×"))+SUMPRODUCT((E15:F15="学活")*(G15="×"))+SUMPRODUCT((H15:I15="特活")*(J15="×"))+SUMPRODUCT((H15:I15="学活")*(J15="×"))+SUMPRODUCT((K15:L15="特活")*(M15="×"))+SUMPRODUCT((K15:L15="学活")*(M15="×"))+SUMPRODUCT((N15:O15="特活")*(P15="×"))+SUMPRODUCT((N15:O15="学活")*(P15="×"))+SUMPRODUCT((B17:C17="特活")*(D17="×"))+SUMPRODUCT((B17:C17="学活")*(D17="×"))+SUMPRODUCT((E17:F17="特活")*(G17="×"))+SUMPRODUCT((E17:F17="学活")*(G17="×"))+SUMPRODUCT((H17:I17="特活")*(J17="×"))+SUMPRODUCT((H17:I17="学活")*(J17="×"))+SUMPRODUCT((K17:L17="特活")*(M17="×"))+SUMPRODUCT((K17:L17="学活")*(M17="×"))+SUMPRODUCT((N17:O17="特活")*(P17="×"))+SUMPRODUCT((N17:O17="学活")*(P17="×"))))</f>
        <v/>
      </c>
      <c r="N23" s="19">
        <f>IF(N24="","",N24-(SUMPRODUCT((B5:C5=N21)*(D5="×"))+SUMPRODUCT((E5:F5=N21)*(G5="×"))+SUMPRODUCT((H5:I5=N21)*(J5="×"))+SUMPRODUCT((K5:L5=N21)*(M5="×"))+SUMPRODUCT((N5:O5=N21)*(P5="×"))+SUMPRODUCT((B7:C7=N21)*(D7="×"))+SUMPRODUCT((E7:F7=N21)*(G7="×"))+SUMPRODUCT((H7:I7=N21)*(J7="×"))+SUMPRODUCT((K7:L7=N21)*(M7="×"))+SUMPRODUCT((N7:O7=N21)*(P7="×"))+SUMPRODUCT((B9:C9=N21)*(D9="×"))+SUMPRODUCT((E9:F9=N21)*(G9="×"))+SUMPRODUCT((H9:I9=N21)*(J9="×"))+SUMPRODUCT((K9:L9=N21)*(M9="×"))+SUMPRODUCT((N9:O9=N21)*(P9="×"))+SUMPRODUCT((B11:C11=N21)*(D11="×"))+SUMPRODUCT((E11:F11=N21)*(G11="×"))+SUMPRODUCT((H11:I11=N21)*(J11="×"))+SUMPRODUCT((K11:L11=N21)*(M11="×"))+SUMPRODUCT((N11:O11=N21)*(P11="×"))+SUMPRODUCT((B13:C13=N21)*(D13="×"))+SUMPRODUCT((E13:F13=N21)*(G13="×"))+SUMPRODUCT((H13:I13=N21)*(J13="×"))+SUMPRODUCT((K13:L13=N21)*(M13="×"))+SUMPRODUCT((N13:O13=N21)*(P13="×"))+SUMPRODUCT((B15:C15=N21)*(D15="×"))+SUMPRODUCT((E15:F15=N21)*(G15="×"))+SUMPRODUCT((H15:I15=N21)*(J15="×"))+SUMPRODUCT((K15:L15=N21)*(M15="×"))+SUMPRODUCT((N15:O15=N21)*(P15="×"))+SUMPRODUCT((B17:C17=N21)*(D17="×"))+SUMPRODUCT((E17:F17=N21)*(G17="×"))+SUMPRODUCT((H17:I17=N21)*(J17="×"))+SUMPRODUCT((K17:L17=N21)*(M17="×"))+SUMPRODUCT((N17:O17=N21)*(P17="×"))))</f>
        <v/>
      </c>
      <c r="O23" s="19">
        <f>IF(O24="","",O24-(SUMPRODUCT((B5:C5=O21)*(D5="×"))+SUMPRODUCT((E5:F5=O21)*(G5="×"))+SUMPRODUCT((H5:I5=O21)*(J5="×"))+SUMPRODUCT((K5:L5=O21)*(M5="×"))+SUMPRODUCT((N5:O5=O21)*(P5="×"))+SUMPRODUCT((B7:C7=O21)*(D7="×"))+SUMPRODUCT((E7:F7=O21)*(G7="×"))+SUMPRODUCT((H7:I7=O21)*(J7="×"))+SUMPRODUCT((K7:L7=O21)*(M7="×"))+SUMPRODUCT((N7:O7=O21)*(P7="×"))+SUMPRODUCT((B9:C9=O21)*(D9="×"))+SUMPRODUCT((E9:F9=O21)*(G9="×"))+SUMPRODUCT((H9:I9=O21)*(J9="×"))+SUMPRODUCT((K9:L9=O21)*(M9="×"))+SUMPRODUCT((N9:O9=O21)*(P9="×"))+SUMPRODUCT((B11:C11=O21)*(D11="×"))+SUMPRODUCT((E11:F11=O21)*(G11="×"))+SUMPRODUCT((H11:I11=O21)*(J11="×"))+SUMPRODUCT((K11:L11=O21)*(M11="×"))+SUMPRODUCT((N11:O11=O21)*(P11="×"))+SUMPRODUCT((B13:C13=O21)*(D13="×"))+SUMPRODUCT((E13:F13=O21)*(G13="×"))+SUMPRODUCT((H13:I13=O21)*(J13="×"))+SUMPRODUCT((K13:L13=O21)*(M13="×"))+SUMPRODUCT((N13:O13=O21)*(P13="×"))+SUMPRODUCT((B15:C15=O21)*(D15="×"))+SUMPRODUCT((E15:F15=O21)*(G15="×"))+SUMPRODUCT((H15:I15=O21)*(J15="×"))+SUMPRODUCT((K15:L15=O21)*(M15="×"))+SUMPRODUCT((N15:O15=O21)*(P15="×"))+SUMPRODUCT((B17:C17=O21)*(D17="×"))+SUMPRODUCT((E17:F17=O21)*(G17="×"))+SUMPRODUCT((H17:I17=O21)*(J17="×"))+SUMPRODUCT((K17:L17=O21)*(M17="×"))+SUMPRODUCT((N17:O17=O21)*(P17="×"))))</f>
        <v/>
      </c>
      <c r="P23" s="20">
        <f>IF(SUM(B23:O23)=0,"",SUM(B23:O23))</f>
        <v/>
      </c>
    </row>
    <row r="24" spans="1:16" ht="13.5" customHeight="1" x14ac:dyDescent="0.2">
      <c r="A24" s="36"/>
      <c r="B24" s="21">
        <f>IF(B21="","",IF(COUNTIF(B5:C5,B21)+COUNTIF(B5:C5,"*,"&amp;B21&amp;",*")+COUNTIF(E5:F5,B21)+COUNTIF(E5:F5,"*,"&amp;B21&amp;",*")+COUNTIF(H5:I5,B21)+COUNTIF(H5:I5,"*,"&amp;B21&amp;",*")+COUNTIF(K5:L5,B21)+COUNTIF(K5:L5,"*,"&amp;B21&amp;",*")+COUNTIF(N5:O5,B21)+COUNTIF(N5:O5,"*,"&amp;B21&amp;",*")+COUNTIF(B7:C7,B21)+COUNTIF(B7:C7,"*,"&amp;B21&amp;",*")+COUNTIF(E7:F7,B21)+COUNTIF(E7:F7,"*,"&amp;B21&amp;",*")+COUNTIF(H7:I7,B21)+COUNTIF(H7:I7,"*,"&amp;B21&amp;",*")+COUNTIF(K7:L7,B21)+COUNTIF(K7:L7,"*,"&amp;B21&amp;",*")+COUNTIF(N7:O7,B21)+COUNTIF(N7:O7,"*,"&amp;B21&amp;",*")+COUNTIF(B9:C9,B21)+COUNTIF(B9:C9,"*,"&amp;B21&amp;",*")+COUNTIF(E9:F9,B21)+COUNTIF(E9:F9,"*,"&amp;B21&amp;",*")+COUNTIF(H9:I9,B21)+COUNTIF(H9:I9,"*,"&amp;B21&amp;",*")+COUNTIF(K9:L9,B21)+COUNTIF(K9:L9,"*,"&amp;B21&amp;",*")+COUNTIF(N9:O9,B21)+COUNTIF(N9:O9,"*,"&amp;B21&amp;",*")+COUNTIF(B11:C11,B21)+COUNTIF(B11:C11,"*,"&amp;B21&amp;",*")+COUNTIF(E11:F11,B21)+COUNTIF(E11:F11,"*,"&amp;B21&amp;",*")+COUNTIF(H11:I11,B21)+COUNTIF(H11:I11,"*,"&amp;B21&amp;",*")+COUNTIF(K11:L11,B21)+COUNTIF(K11:L11,"*,"&amp;B21&amp;",*")+COUNTIF(N11:O11,B21)+COUNTIF(N11:O11,"*,"&amp;B21&amp;",*")+COUNTIF(B13:C13,B21)+COUNTIF(B13:C13,"*,"&amp;B21&amp;",*")+COUNTIF(E13:F13,B21)+COUNTIF(E13:F13,"*,"&amp;B21&amp;",*")+COUNTIF(H13:I13,B21)+COUNTIF(H13:I13,"*,"&amp;B21&amp;",*")+COUNTIF(K13:L13,B21)+COUNTIF(K13:L13,"*,"&amp;B21&amp;",*")+COUNTIF(N13:O13,B21)+COUNTIF(N13:O13,"*,"&amp;B21&amp;",*")+COUNTIF(B15:C15,B21)+COUNTIF(B15:C15,"*,"&amp;B21&amp;",*")+COUNTIF(E15:F15,B21)+COUNTIF(E15:F15,"*,"&amp;B21&amp;",*")+COUNTIF(H15:I15,B21)+COUNTIF(H15:I15,"*,"&amp;B21&amp;",*")+COUNTIF(K15:L15,B21)+COUNTIF(K15:L15,"*,"&amp;B21&amp;",*")+COUNTIF(N15:O15,B21)+COUNTIF(N15:O15,"*,"&amp;B21&amp;",*")+COUNTIF(B17:C17,B21)+COUNTIF(B17:C17,"*,"&amp;B21&amp;",*")+COUNTIF(E17:F17,B21)+COUNTIF(E17:F17,"*,"&amp;B21&amp;",*")+COUNTIF(H17:I17,B21)+COUNTIF(H17:I17,"*,"&amp;B21&amp;",*")+COUNTIF(K17:L17,B21)+COUNTIF(K17:L17,"*,"&amp;B21&amp;",*")+COUNTIF(N17:O17,B21)+COUNTIF(N17:O17,"*,"&amp;B21&amp;",*")=0,"",COUNTIF(B5:C5,B21)+COUNTIF(B5:C5,"*,"&amp;B21&amp;",*")+COUNTIF(E5:F5,B21)+COUNTIF(E5:F5,"*,"&amp;B21&amp;",*")+COUNTIF(H5:I5,B21)+COUNTIF(H5:I5,"*,"&amp;B21&amp;",*")+COUNTIF(K5:L5,B21)+COUNTIF(K5:L5,"*,"&amp;B21&amp;",*")+COUNTIF(N5:O5,B21)+COUNTIF(N5:O5,"*,"&amp;B21&amp;",*")+COUNTIF(B7:C7,B21)+COUNTIF(B7:C7,"*,"&amp;B21&amp;",*")+COUNTIF(E7:F7,B21)+COUNTIF(E7:F7,"*,"&amp;B21&amp;",*")+COUNTIF(H7:I7,B21)+COUNTIF(H7:I7,"*,"&amp;B21&amp;",*")+COUNTIF(K7:L7,B21)+COUNTIF(K7:L7,"*,"&amp;B21&amp;",*")+COUNTIF(N7:O7,B21)+COUNTIF(N7:O7,"*,"&amp;B21&amp;",*")+COUNTIF(B9:C9,B21)+COUNTIF(B9:C9,"*,"&amp;B21&amp;",*")+COUNTIF(E9:F9,B21)+COUNTIF(E9:F9,"*,"&amp;B21&amp;",*")+COUNTIF(H9:I9,B21)+COUNTIF(H9:I9,"*,"&amp;B21&amp;",*")+COUNTIF(K9:L9,B21)+COUNTIF(K9:L9,"*,"&amp;B21&amp;",*")+COUNTIF(N9:O9,B21)+COUNTIF(N9:O9,"*,"&amp;B21&amp;",*")+COUNTIF(B11:C11,B21)+COUNTIF(B11:C11,"*,"&amp;B21&amp;",*")+COUNTIF(E11:F11,B21)+COUNTIF(E11:F11,"*,"&amp;B21&amp;",*")+COUNTIF(H11:I11,B21)+COUNTIF(H11:I11,"*,"&amp;B21&amp;",*")+COUNTIF(K11:L11,B21)+COUNTIF(K11:L11,"*,"&amp;B21&amp;",*")+COUNTIF(N11:O11,B21)+COUNTIF(N11:O11,"*,"&amp;B21&amp;",*")+COUNTIF(B13:C13,B21)+COUNTIF(B13:C13,"*,"&amp;B21&amp;",*")+COUNTIF(E13:F13,B21)+COUNTIF(E13:F13,"*,"&amp;B21&amp;",*")+COUNTIF(H13:I13,B21)+COUNTIF(H13:I13,"*,"&amp;B21&amp;",*")+COUNTIF(K13:L13,B21)+COUNTIF(K13:L13,"*,"&amp;B21&amp;",*")+COUNTIF(N13:O13,B21)+COUNTIF(N13:O13,"*,"&amp;B21&amp;",*")+COUNTIF(B15:C15,B21)+COUNTIF(B15:C15,"*,"&amp;B21&amp;",*")+COUNTIF(E15:F15,B21)+COUNTIF(E15:F15,"*,"&amp;B21&amp;",*")+COUNTIF(H15:I15,B21)+COUNTIF(H15:I15,"*,"&amp;B21&amp;",*")+COUNTIF(K15:L15,B21)+COUNTIF(K15:L15,"*,"&amp;B21&amp;",*")+COUNTIF(N15:O15,B21)+COUNTIF(N15:O15,"*,"&amp;B21&amp;",*")+COUNTIF(B17:C17,B21)+COUNTIF(B17:C17,"*,"&amp;B21&amp;",*")+COUNTIF(E17:F17,B21)+COUNTIF(E17:F17,"*,"&amp;B21&amp;",*")+COUNTIF(H17:I17,B21)+COUNTIF(H17:I17,"*,"&amp;B21&amp;",*")+COUNTIF(K17:L17,B21)+COUNTIF(K17:L17,"*,"&amp;B21&amp;",*")+COUNTIF(N17:O17,B21)+COUNTIF(N17:O17,"*,"&amp;B21&amp;",*")))</f>
        <v/>
      </c>
      <c r="C24" s="21">
        <f>IF(C21="","",IF(COUNTIF(B5:C5,C21)+COUNTIF(B5:C5,"*,"&amp;C21&amp;",*")+COUNTIF(E5:F5,C21)+COUNTIF(E5:F5,"*,"&amp;C21&amp;",*")+COUNTIF(H5:I5,C21)+COUNTIF(H5:I5,"*,"&amp;C21&amp;",*")+COUNTIF(K5:L5,C21)+COUNTIF(K5:L5,"*,"&amp;C21&amp;",*")+COUNTIF(N5:O5,C21)+COUNTIF(N5:O5,"*,"&amp;C21&amp;",*")+COUNTIF(B7:C7,C21)+COUNTIF(B7:C7,"*,"&amp;C21&amp;",*")+COUNTIF(E7:F7,C21)+COUNTIF(E7:F7,"*,"&amp;C21&amp;",*")+COUNTIF(H7:I7,C21)+COUNTIF(H7:I7,"*,"&amp;C21&amp;",*")+COUNTIF(K7:L7,C21)+COUNTIF(K7:L7,"*,"&amp;C21&amp;",*")+COUNTIF(N7:O7,C21)+COUNTIF(N7:O7,"*,"&amp;C21&amp;",*")+COUNTIF(B9:C9,C21)+COUNTIF(B9:C9,"*,"&amp;C21&amp;",*")+COUNTIF(E9:F9,C21)+COUNTIF(E9:F9,"*,"&amp;C21&amp;",*")+COUNTIF(H9:I9,C21)+COUNTIF(H9:I9,"*,"&amp;C21&amp;",*")+COUNTIF(K9:L9,C21)+COUNTIF(K9:L9,"*,"&amp;C21&amp;",*")+COUNTIF(N9:O9,C21)+COUNTIF(N9:O9,"*,"&amp;C21&amp;",*")+COUNTIF(B11:C11,C21)+COUNTIF(B11:C11,"*,"&amp;C21&amp;",*")+COUNTIF(E11:F11,C21)+COUNTIF(E11:F11,"*,"&amp;C21&amp;",*")+COUNTIF(H11:I11,C21)+COUNTIF(H11:I11,"*,"&amp;C21&amp;",*")+COUNTIF(K11:L11,C21)+COUNTIF(K11:L11,"*,"&amp;C21&amp;",*")+COUNTIF(N11:O11,C21)+COUNTIF(N11:O11,"*,"&amp;C21&amp;",*")+COUNTIF(B13:C13,C21)+COUNTIF(B13:C13,"*,"&amp;C21&amp;",*")+COUNTIF(E13:F13,C21)+COUNTIF(E13:F13,"*,"&amp;C21&amp;",*")+COUNTIF(H13:I13,C21)+COUNTIF(H13:I13,"*,"&amp;C21&amp;",*")+COUNTIF(K13:L13,C21)+COUNTIF(K13:L13,"*,"&amp;C21&amp;",*")+COUNTIF(N13:O13,C21)+COUNTIF(N13:O13,"*,"&amp;C21&amp;",*")+COUNTIF(B15:C15,C21)+COUNTIF(B15:C15,"*,"&amp;C21&amp;",*")+COUNTIF(E15:F15,C21)+COUNTIF(E15:F15,"*,"&amp;C21&amp;",*")+COUNTIF(H15:I15,C21)+COUNTIF(H15:I15,"*,"&amp;C21&amp;",*")+COUNTIF(K15:L15,C21)+COUNTIF(K15:L15,"*,"&amp;C21&amp;",*")+COUNTIF(N15:O15,C21)+COUNTIF(N15:O15,"*,"&amp;C21&amp;",*")+COUNTIF(B17:C17,C21)+COUNTIF(B17:C17,"*,"&amp;C21&amp;",*")+COUNTIF(E17:F17,C21)+COUNTIF(E17:F17,"*,"&amp;C21&amp;",*")+COUNTIF(H17:I17,C21)+COUNTIF(H17:I17,"*,"&amp;C21&amp;",*")+COUNTIF(K17:L17,C21)+COUNTIF(K17:L17,"*,"&amp;C21&amp;",*")+COUNTIF(N17:O17,C21)+COUNTIF(N17:O17,"*,"&amp;C21&amp;",*")=0,"",COUNTIF(B5:C5,C21)+COUNTIF(B5:C5,"*,"&amp;C21&amp;",*")+COUNTIF(E5:F5,C21)+COUNTIF(E5:F5,"*,"&amp;C21&amp;",*")+COUNTIF(H5:I5,C21)+COUNTIF(H5:I5,"*,"&amp;C21&amp;",*")+COUNTIF(K5:L5,C21)+COUNTIF(K5:L5,"*,"&amp;C21&amp;",*")+COUNTIF(N5:O5,C21)+COUNTIF(N5:O5,"*,"&amp;C21&amp;",*")+COUNTIF(B7:C7,C21)+COUNTIF(B7:C7,"*,"&amp;C21&amp;",*")+COUNTIF(E7:F7,C21)+COUNTIF(E7:F7,"*,"&amp;C21&amp;",*")+COUNTIF(H7:I7,C21)+COUNTIF(H7:I7,"*,"&amp;C21&amp;",*")+COUNTIF(K7:L7,C21)+COUNTIF(K7:L7,"*,"&amp;C21&amp;",*")+COUNTIF(N7:O7,C21)+COUNTIF(N7:O7,"*,"&amp;C21&amp;",*")+COUNTIF(B9:C9,C21)+COUNTIF(B9:C9,"*,"&amp;C21&amp;",*")+COUNTIF(E9:F9,C21)+COUNTIF(E9:F9,"*,"&amp;C21&amp;",*")+COUNTIF(H9:I9,C21)+COUNTIF(H9:I9,"*,"&amp;C21&amp;",*")+COUNTIF(K9:L9,C21)+COUNTIF(K9:L9,"*,"&amp;C21&amp;",*")+COUNTIF(N9:O9,C21)+COUNTIF(N9:O9,"*,"&amp;C21&amp;",*")+COUNTIF(B11:C11,C21)+COUNTIF(B11:C11,"*,"&amp;C21&amp;",*")+COUNTIF(E11:F11,C21)+COUNTIF(E11:F11,"*,"&amp;C21&amp;",*")+COUNTIF(H11:I11,C21)+COUNTIF(H11:I11,"*,"&amp;C21&amp;",*")+COUNTIF(K11:L11,C21)+COUNTIF(K11:L11,"*,"&amp;C21&amp;",*")+COUNTIF(N11:O11,C21)+COUNTIF(N11:O11,"*,"&amp;C21&amp;",*")+COUNTIF(B13:C13,C21)+COUNTIF(B13:C13,"*,"&amp;C21&amp;",*")+COUNTIF(E13:F13,C21)+COUNTIF(E13:F13,"*,"&amp;C21&amp;",*")+COUNTIF(H13:I13,C21)+COUNTIF(H13:I13,"*,"&amp;C21&amp;",*")+COUNTIF(K13:L13,C21)+COUNTIF(K13:L13,"*,"&amp;C21&amp;",*")+COUNTIF(N13:O13,C21)+COUNTIF(N13:O13,"*,"&amp;C21&amp;",*")+COUNTIF(B15:C15,C21)+COUNTIF(B15:C15,"*,"&amp;C21&amp;",*")+COUNTIF(E15:F15,C21)+COUNTIF(E15:F15,"*,"&amp;C21&amp;",*")+COUNTIF(H15:I15,C21)+COUNTIF(H15:I15,"*,"&amp;C21&amp;",*")+COUNTIF(K15:L15,C21)+COUNTIF(K15:L15,"*,"&amp;C21&amp;",*")+COUNTIF(N15:O15,C21)+COUNTIF(N15:O15,"*,"&amp;C21&amp;",*")+COUNTIF(B17:C17,C21)+COUNTIF(B17:C17,"*,"&amp;C21&amp;",*")+COUNTIF(E17:F17,C21)+COUNTIF(E17:F17,"*,"&amp;C21&amp;",*")+COUNTIF(H17:I17,C21)+COUNTIF(H17:I17,"*,"&amp;C21&amp;",*")+COUNTIF(K17:L17,C21)+COUNTIF(K17:L17,"*,"&amp;C21&amp;",*")+COUNTIF(N17:O17,C21)+COUNTIF(N17:O17,"*,"&amp;C21&amp;",*")))</f>
        <v/>
      </c>
      <c r="D24" s="21">
        <f>IF(D21="","",IF(COUNTIF(B5:C5,D21)+COUNTIF(B5:C5,"*,"&amp;D21&amp;",*")+COUNTIF(E5:F5,D21)+COUNTIF(E5:F5,"*,"&amp;D21&amp;",*")+COUNTIF(H5:I5,D21)+COUNTIF(H5:I5,"*,"&amp;D21&amp;",*")+COUNTIF(K5:L5,D21)+COUNTIF(K5:L5,"*,"&amp;D21&amp;",*")+COUNTIF(N5:O5,D21)+COUNTIF(N5:O5,"*,"&amp;D21&amp;",*")+COUNTIF(B7:C7,D21)+COUNTIF(B7:C7,"*,"&amp;D21&amp;",*")+COUNTIF(E7:F7,D21)+COUNTIF(E7:F7,"*,"&amp;D21&amp;",*")+COUNTIF(H7:I7,D21)+COUNTIF(H7:I7,"*,"&amp;D21&amp;",*")+COUNTIF(K7:L7,D21)+COUNTIF(K7:L7,"*,"&amp;D21&amp;",*")+COUNTIF(N7:O7,D21)+COUNTIF(N7:O7,"*,"&amp;D21&amp;",*")+COUNTIF(B9:C9,D21)+COUNTIF(B9:C9,"*,"&amp;D21&amp;",*")+COUNTIF(E9:F9,D21)+COUNTIF(E9:F9,"*,"&amp;D21&amp;",*")+COUNTIF(H9:I9,D21)+COUNTIF(H9:I9,"*,"&amp;D21&amp;",*")+COUNTIF(K9:L9,D21)+COUNTIF(K9:L9,"*,"&amp;D21&amp;",*")+COUNTIF(N9:O9,D21)+COUNTIF(N9:O9,"*,"&amp;D21&amp;",*")+COUNTIF(B11:C11,D21)+COUNTIF(B11:C11,"*,"&amp;D21&amp;",*")+COUNTIF(E11:F11,D21)+COUNTIF(E11:F11,"*,"&amp;D21&amp;",*")+COUNTIF(H11:I11,D21)+COUNTIF(H11:I11,"*,"&amp;D21&amp;",*")+COUNTIF(K11:L11,D21)+COUNTIF(K11:L11,"*,"&amp;D21&amp;",*")+COUNTIF(N11:O11,D21)+COUNTIF(N11:O11,"*,"&amp;D21&amp;",*")+COUNTIF(B13:C13,D21)+COUNTIF(B13:C13,"*,"&amp;D21&amp;",*")+COUNTIF(E13:F13,D21)+COUNTIF(E13:F13,"*,"&amp;D21&amp;",*")+COUNTIF(H13:I13,D21)+COUNTIF(H13:I13,"*,"&amp;D21&amp;",*")+COUNTIF(K13:L13,D21)+COUNTIF(K13:L13,"*,"&amp;D21&amp;",*")+COUNTIF(N13:O13,D21)+COUNTIF(N13:O13,"*,"&amp;D21&amp;",*")+COUNTIF(B15:C15,D21)+COUNTIF(B15:C15,"*,"&amp;D21&amp;",*")+COUNTIF(E15:F15,D21)+COUNTIF(E15:F15,"*,"&amp;D21&amp;",*")+COUNTIF(H15:I15,D21)+COUNTIF(H15:I15,"*,"&amp;D21&amp;",*")+COUNTIF(K15:L15,D21)+COUNTIF(K15:L15,"*,"&amp;D21&amp;",*")+COUNTIF(N15:O15,D21)+COUNTIF(N15:O15,"*,"&amp;D21&amp;",*")+COUNTIF(B17:C17,D21)+COUNTIF(B17:C17,"*,"&amp;D21&amp;",*")+COUNTIF(E17:F17,D21)+COUNTIF(E17:F17,"*,"&amp;D21&amp;",*")+COUNTIF(H17:I17,D21)+COUNTIF(H17:I17,"*,"&amp;D21&amp;",*")+COUNTIF(K17:L17,D21)+COUNTIF(K17:L17,"*,"&amp;D21&amp;",*")+COUNTIF(N17:O17,D21)+COUNTIF(N17:O17,"*,"&amp;D21&amp;",*")=0,"",COUNTIF(B5:C5,D21)+COUNTIF(B5:C5,"*,"&amp;D21&amp;",*")+COUNTIF(E5:F5,D21)+COUNTIF(E5:F5,"*,"&amp;D21&amp;",*")+COUNTIF(H5:I5,D21)+COUNTIF(H5:I5,"*,"&amp;D21&amp;",*")+COUNTIF(K5:L5,D21)+COUNTIF(K5:L5,"*,"&amp;D21&amp;",*")+COUNTIF(N5:O5,D21)+COUNTIF(N5:O5,"*,"&amp;D21&amp;",*")+COUNTIF(B7:C7,D21)+COUNTIF(B7:C7,"*,"&amp;D21&amp;",*")+COUNTIF(E7:F7,D21)+COUNTIF(E7:F7,"*,"&amp;D21&amp;",*")+COUNTIF(H7:I7,D21)+COUNTIF(H7:I7,"*,"&amp;D21&amp;",*")+COUNTIF(K7:L7,D21)+COUNTIF(K7:L7,"*,"&amp;D21&amp;",*")+COUNTIF(N7:O7,D21)+COUNTIF(N7:O7,"*,"&amp;D21&amp;",*")+COUNTIF(B9:C9,D21)+COUNTIF(B9:C9,"*,"&amp;D21&amp;",*")+COUNTIF(E9:F9,D21)+COUNTIF(E9:F9,"*,"&amp;D21&amp;",*")+COUNTIF(H9:I9,D21)+COUNTIF(H9:I9,"*,"&amp;D21&amp;",*")+COUNTIF(K9:L9,D21)+COUNTIF(K9:L9,"*,"&amp;D21&amp;",*")+COUNTIF(N9:O9,D21)+COUNTIF(N9:O9,"*,"&amp;D21&amp;",*")+COUNTIF(B11:C11,D21)+COUNTIF(B11:C11,"*,"&amp;D21&amp;",*")+COUNTIF(E11:F11,D21)+COUNTIF(E11:F11,"*,"&amp;D21&amp;",*")+COUNTIF(H11:I11,D21)+COUNTIF(H11:I11,"*,"&amp;D21&amp;",*")+COUNTIF(K11:L11,D21)+COUNTIF(K11:L11,"*,"&amp;D21&amp;",*")+COUNTIF(N11:O11,D21)+COUNTIF(N11:O11,"*,"&amp;D21&amp;",*")+COUNTIF(B13:C13,D21)+COUNTIF(B13:C13,"*,"&amp;D21&amp;",*")+COUNTIF(E13:F13,D21)+COUNTIF(E13:F13,"*,"&amp;D21&amp;",*")+COUNTIF(H13:I13,D21)+COUNTIF(H13:I13,"*,"&amp;D21&amp;",*")+COUNTIF(K13:L13,D21)+COUNTIF(K13:L13,"*,"&amp;D21&amp;",*")+COUNTIF(N13:O13,D21)+COUNTIF(N13:O13,"*,"&amp;D21&amp;",*")+COUNTIF(B15:C15,D21)+COUNTIF(B15:C15,"*,"&amp;D21&amp;",*")+COUNTIF(E15:F15,D21)+COUNTIF(E15:F15,"*,"&amp;D21&amp;",*")+COUNTIF(H15:I15,D21)+COUNTIF(H15:I15,"*,"&amp;D21&amp;",*")+COUNTIF(K15:L15,D21)+COUNTIF(K15:L15,"*,"&amp;D21&amp;",*")+COUNTIF(N15:O15,D21)+COUNTIF(N15:O15,"*,"&amp;D21&amp;",*")+COUNTIF(B17:C17,D21)+COUNTIF(B17:C17,"*,"&amp;D21&amp;",*")+COUNTIF(E17:F17,D21)+COUNTIF(E17:F17,"*,"&amp;D21&amp;",*")+COUNTIF(H17:I17,D21)+COUNTIF(H17:I17,"*,"&amp;D21&amp;",*")+COUNTIF(K17:L17,D21)+COUNTIF(K17:L17,"*,"&amp;D21&amp;",*")+COUNTIF(N17:O17,D21)+COUNTIF(N17:O17,"*,"&amp;D21&amp;",*")))</f>
        <v/>
      </c>
      <c r="E24" s="21">
        <f>IF(E21="","",IF(COUNTIF(B5:C5,E21)+COUNTIF(B5:C5,"*,"&amp;E21&amp;",*")+COUNTIF(E5:F5,E21)+COUNTIF(E5:F5,"*,"&amp;E21&amp;",*")+COUNTIF(H5:I5,E21)+COUNTIF(H5:I5,"*,"&amp;E21&amp;",*")+COUNTIF(K5:L5,E21)+COUNTIF(K5:L5,"*,"&amp;E21&amp;",*")+COUNTIF(N5:O5,E21)+COUNTIF(N5:O5,"*,"&amp;E21&amp;",*")+COUNTIF(B7:C7,E21)+COUNTIF(B7:C7,"*,"&amp;E21&amp;",*")+COUNTIF(E7:F7,E21)+COUNTIF(E7:F7,"*,"&amp;E21&amp;",*")+COUNTIF(H7:I7,E21)+COUNTIF(H7:I7,"*,"&amp;E21&amp;",*")+COUNTIF(K7:L7,E21)+COUNTIF(K7:L7,"*,"&amp;E21&amp;",*")+COUNTIF(N7:O7,E21)+COUNTIF(N7:O7,"*,"&amp;E21&amp;",*")+COUNTIF(B9:C9,E21)+COUNTIF(B9:C9,"*,"&amp;E21&amp;",*")+COUNTIF(E9:F9,E21)+COUNTIF(E9:F9,"*,"&amp;E21&amp;",*")+COUNTIF(H9:I9,E21)+COUNTIF(H9:I9,"*,"&amp;E21&amp;",*")+COUNTIF(K9:L9,E21)+COUNTIF(K9:L9,"*,"&amp;E21&amp;",*")+COUNTIF(N9:O9,E21)+COUNTIF(N9:O9,"*,"&amp;E21&amp;",*")+COUNTIF(B11:C11,E21)+COUNTIF(B11:C11,"*,"&amp;E21&amp;",*")+COUNTIF(E11:F11,E21)+COUNTIF(E11:F11,"*,"&amp;E21&amp;",*")+COUNTIF(H11:I11,E21)+COUNTIF(H11:I11,"*,"&amp;E21&amp;",*")+COUNTIF(K11:L11,E21)+COUNTIF(K11:L11,"*,"&amp;E21&amp;",*")+COUNTIF(N11:O11,E21)+COUNTIF(N11:O11,"*,"&amp;E21&amp;",*")+COUNTIF(B13:C13,E21)+COUNTIF(B13:C13,"*,"&amp;E21&amp;",*")+COUNTIF(E13:F13,E21)+COUNTIF(E13:F13,"*,"&amp;E21&amp;",*")+COUNTIF(H13:I13,E21)+COUNTIF(H13:I13,"*,"&amp;E21&amp;",*")+COUNTIF(K13:L13,E21)+COUNTIF(K13:L13,"*,"&amp;E21&amp;",*")+COUNTIF(N13:O13,E21)+COUNTIF(N13:O13,"*,"&amp;E21&amp;",*")+COUNTIF(B15:C15,E21)+COUNTIF(B15:C15,"*,"&amp;E21&amp;",*")+COUNTIF(E15:F15,E21)+COUNTIF(E15:F15,"*,"&amp;E21&amp;",*")+COUNTIF(H15:I15,E21)+COUNTIF(H15:I15,"*,"&amp;E21&amp;",*")+COUNTIF(K15:L15,E21)+COUNTIF(K15:L15,"*,"&amp;E21&amp;",*")+COUNTIF(N15:O15,E21)+COUNTIF(N15:O15,"*,"&amp;E21&amp;",*")+COUNTIF(B17:C17,E21)+COUNTIF(B17:C17,"*,"&amp;E21&amp;",*")+COUNTIF(E17:F17,E21)+COUNTIF(E17:F17,"*,"&amp;E21&amp;",*")+COUNTIF(H17:I17,E21)+COUNTIF(H17:I17,"*,"&amp;E21&amp;",*")+COUNTIF(K17:L17,E21)+COUNTIF(K17:L17,"*,"&amp;E21&amp;",*")+COUNTIF(N17:O17,E21)+COUNTIF(N17:O17,"*,"&amp;E21&amp;",*")=0,"",COUNTIF(B5:C5,E21)+COUNTIF(B5:C5,"*,"&amp;E21&amp;",*")+COUNTIF(E5:F5,E21)+COUNTIF(E5:F5,"*,"&amp;E21&amp;",*")+COUNTIF(H5:I5,E21)+COUNTIF(H5:I5,"*,"&amp;E21&amp;",*")+COUNTIF(K5:L5,E21)+COUNTIF(K5:L5,"*,"&amp;E21&amp;",*")+COUNTIF(N5:O5,E21)+COUNTIF(N5:O5,"*,"&amp;E21&amp;",*")+COUNTIF(B7:C7,E21)+COUNTIF(B7:C7,"*,"&amp;E21&amp;",*")+COUNTIF(E7:F7,E21)+COUNTIF(E7:F7,"*,"&amp;E21&amp;",*")+COUNTIF(H7:I7,E21)+COUNTIF(H7:I7,"*,"&amp;E21&amp;",*")+COUNTIF(K7:L7,E21)+COUNTIF(K7:L7,"*,"&amp;E21&amp;",*")+COUNTIF(N7:O7,E21)+COUNTIF(N7:O7,"*,"&amp;E21&amp;",*")+COUNTIF(B9:C9,E21)+COUNTIF(B9:C9,"*,"&amp;E21&amp;",*")+COUNTIF(E9:F9,E21)+COUNTIF(E9:F9,"*,"&amp;E21&amp;",*")+COUNTIF(H9:I9,E21)+COUNTIF(H9:I9,"*,"&amp;E21&amp;",*")+COUNTIF(K9:L9,E21)+COUNTIF(K9:L9,"*,"&amp;E21&amp;",*")+COUNTIF(N9:O9,E21)+COUNTIF(N9:O9,"*,"&amp;E21&amp;",*")+COUNTIF(B11:C11,E21)+COUNTIF(B11:C11,"*,"&amp;E21&amp;",*")+COUNTIF(E11:F11,E21)+COUNTIF(E11:F11,"*,"&amp;E21&amp;",*")+COUNTIF(H11:I11,E21)+COUNTIF(H11:I11,"*,"&amp;E21&amp;",*")+COUNTIF(K11:L11,E21)+COUNTIF(K11:L11,"*,"&amp;E21&amp;",*")+COUNTIF(N11:O11,E21)+COUNTIF(N11:O11,"*,"&amp;E21&amp;",*")+COUNTIF(B13:C13,E21)+COUNTIF(B13:C13,"*,"&amp;E21&amp;",*")+COUNTIF(E13:F13,E21)+COUNTIF(E13:F13,"*,"&amp;E21&amp;",*")+COUNTIF(H13:I13,E21)+COUNTIF(H13:I13,"*,"&amp;E21&amp;",*")+COUNTIF(K13:L13,E21)+COUNTIF(K13:L13,"*,"&amp;E21&amp;",*")+COUNTIF(N13:O13,E21)+COUNTIF(N13:O13,"*,"&amp;E21&amp;",*")+COUNTIF(B15:C15,E21)+COUNTIF(B15:C15,"*,"&amp;E21&amp;",*")+COUNTIF(E15:F15,E21)+COUNTIF(E15:F15,"*,"&amp;E21&amp;",*")+COUNTIF(H15:I15,E21)+COUNTIF(H15:I15,"*,"&amp;E21&amp;",*")+COUNTIF(K15:L15,E21)+COUNTIF(K15:L15,"*,"&amp;E21&amp;",*")+COUNTIF(N15:O15,E21)+COUNTIF(N15:O15,"*,"&amp;E21&amp;",*")+COUNTIF(B17:C17,E21)+COUNTIF(B17:C17,"*,"&amp;E21&amp;",*")+COUNTIF(E17:F17,E21)+COUNTIF(E17:F17,"*,"&amp;E21&amp;",*")+COUNTIF(H17:I17,E21)+COUNTIF(H17:I17,"*,"&amp;E21&amp;",*")+COUNTIF(K17:L17,E21)+COUNTIF(K17:L17,"*,"&amp;E21&amp;",*")+COUNTIF(N17:O17,E21)+COUNTIF(N17:O17,"*,"&amp;E21&amp;",*")))</f>
        <v/>
      </c>
      <c r="F24" s="21">
        <f>IF(F21="","",IF(COUNTIF(B5:C5,F21)+COUNTIF(B5:C5,"*,"&amp;F21&amp;",*")+COUNTIF(E5:F5,F21)+COUNTIF(E5:F5,"*,"&amp;F21&amp;",*")+COUNTIF(H5:I5,F21)+COUNTIF(H5:I5,"*,"&amp;F21&amp;",*")+COUNTIF(K5:L5,F21)+COUNTIF(K5:L5,"*,"&amp;F21&amp;",*")+COUNTIF(N5:O5,F21)+COUNTIF(N5:O5,"*,"&amp;F21&amp;",*")+COUNTIF(B7:C7,F21)+COUNTIF(B7:C7,"*,"&amp;F21&amp;",*")+COUNTIF(E7:F7,F21)+COUNTIF(E7:F7,"*,"&amp;F21&amp;",*")+COUNTIF(H7:I7,F21)+COUNTIF(H7:I7,"*,"&amp;F21&amp;",*")+COUNTIF(K7:L7,F21)+COUNTIF(K7:L7,"*,"&amp;F21&amp;",*")+COUNTIF(N7:O7,F21)+COUNTIF(N7:O7,"*,"&amp;F21&amp;",*")+COUNTIF(B9:C9,F21)+COUNTIF(B9:C9,"*,"&amp;F21&amp;",*")+COUNTIF(E9:F9,F21)+COUNTIF(E9:F9,"*,"&amp;F21&amp;",*")+COUNTIF(H9:I9,F21)+COUNTIF(H9:I9,"*,"&amp;F21&amp;",*")+COUNTIF(K9:L9,F21)+COUNTIF(K9:L9,"*,"&amp;F21&amp;",*")+COUNTIF(N9:O9,F21)+COUNTIF(N9:O9,"*,"&amp;F21&amp;",*")+COUNTIF(B11:C11,F21)+COUNTIF(B11:C11,"*,"&amp;F21&amp;",*")+COUNTIF(E11:F11,F21)+COUNTIF(E11:F11,"*,"&amp;F21&amp;",*")+COUNTIF(H11:I11,F21)+COUNTIF(H11:I11,"*,"&amp;F21&amp;",*")+COUNTIF(K11:L11,F21)+COUNTIF(K11:L11,"*,"&amp;F21&amp;",*")+COUNTIF(N11:O11,F21)+COUNTIF(N11:O11,"*,"&amp;F21&amp;",*")+COUNTIF(B13:C13,F21)+COUNTIF(B13:C13,"*,"&amp;F21&amp;",*")+COUNTIF(E13:F13,F21)+COUNTIF(E13:F13,"*,"&amp;F21&amp;",*")+COUNTIF(H13:I13,F21)+COUNTIF(H13:I13,"*,"&amp;F21&amp;",*")+COUNTIF(K13:L13,F21)+COUNTIF(K13:L13,"*,"&amp;F21&amp;",*")+COUNTIF(N13:O13,F21)+COUNTIF(N13:O13,"*,"&amp;F21&amp;",*")+COUNTIF(B15:C15,F21)+COUNTIF(B15:C15,"*,"&amp;F21&amp;",*")+COUNTIF(E15:F15,F21)+COUNTIF(E15:F15,"*,"&amp;F21&amp;",*")+COUNTIF(H15:I15,F21)+COUNTIF(H15:I15,"*,"&amp;F21&amp;",*")+COUNTIF(K15:L15,F21)+COUNTIF(K15:L15,"*,"&amp;F21&amp;",*")+COUNTIF(N15:O15,F21)+COUNTIF(N15:O15,"*,"&amp;F21&amp;",*")+COUNTIF(B17:C17,F21)+COUNTIF(B17:C17,"*,"&amp;F21&amp;",*")+COUNTIF(E17:F17,F21)+COUNTIF(E17:F17,"*,"&amp;F21&amp;",*")+COUNTIF(H17:I17,F21)+COUNTIF(H17:I17,"*,"&amp;F21&amp;",*")+COUNTIF(K17:L17,F21)+COUNTIF(K17:L17,"*,"&amp;F21&amp;",*")+COUNTIF(N17:O17,F21)+COUNTIF(N17:O17,"*,"&amp;F21&amp;",*")=0,"",COUNTIF(B5:C5,F21)+COUNTIF(B5:C5,"*,"&amp;F21&amp;",*")+COUNTIF(E5:F5,F21)+COUNTIF(E5:F5,"*,"&amp;F21&amp;",*")+COUNTIF(H5:I5,F21)+COUNTIF(H5:I5,"*,"&amp;F21&amp;",*")+COUNTIF(K5:L5,F21)+COUNTIF(K5:L5,"*,"&amp;F21&amp;",*")+COUNTIF(N5:O5,F21)+COUNTIF(N5:O5,"*,"&amp;F21&amp;",*")+COUNTIF(B7:C7,F21)+COUNTIF(B7:C7,"*,"&amp;F21&amp;",*")+COUNTIF(E7:F7,F21)+COUNTIF(E7:F7,"*,"&amp;F21&amp;",*")+COUNTIF(H7:I7,F21)+COUNTIF(H7:I7,"*,"&amp;F21&amp;",*")+COUNTIF(K7:L7,F21)+COUNTIF(K7:L7,"*,"&amp;F21&amp;",*")+COUNTIF(N7:O7,F21)+COUNTIF(N7:O7,"*,"&amp;F21&amp;",*")+COUNTIF(B9:C9,F21)+COUNTIF(B9:C9,"*,"&amp;F21&amp;",*")+COUNTIF(E9:F9,F21)+COUNTIF(E9:F9,"*,"&amp;F21&amp;",*")+COUNTIF(H9:I9,F21)+COUNTIF(H9:I9,"*,"&amp;F21&amp;",*")+COUNTIF(K9:L9,F21)+COUNTIF(K9:L9,"*,"&amp;F21&amp;",*")+COUNTIF(N9:O9,F21)+COUNTIF(N9:O9,"*,"&amp;F21&amp;",*")+COUNTIF(B11:C11,F21)+COUNTIF(B11:C11,"*,"&amp;F21&amp;",*")+COUNTIF(E11:F11,F21)+COUNTIF(E11:F11,"*,"&amp;F21&amp;",*")+COUNTIF(H11:I11,F21)+COUNTIF(H11:I11,"*,"&amp;F21&amp;",*")+COUNTIF(K11:L11,F21)+COUNTIF(K11:L11,"*,"&amp;F21&amp;",*")+COUNTIF(N11:O11,F21)+COUNTIF(N11:O11,"*,"&amp;F21&amp;",*")+COUNTIF(B13:C13,F21)+COUNTIF(B13:C13,"*,"&amp;F21&amp;",*")+COUNTIF(E13:F13,F21)+COUNTIF(E13:F13,"*,"&amp;F21&amp;",*")+COUNTIF(H13:I13,F21)+COUNTIF(H13:I13,"*,"&amp;F21&amp;",*")+COUNTIF(K13:L13,F21)+COUNTIF(K13:L13,"*,"&amp;F21&amp;",*")+COUNTIF(N13:O13,F21)+COUNTIF(N13:O13,"*,"&amp;F21&amp;",*")+COUNTIF(B15:C15,F21)+COUNTIF(B15:C15,"*,"&amp;F21&amp;",*")+COUNTIF(E15:F15,F21)+COUNTIF(E15:F15,"*,"&amp;F21&amp;",*")+COUNTIF(H15:I15,F21)+COUNTIF(H15:I15,"*,"&amp;F21&amp;",*")+COUNTIF(K15:L15,F21)+COUNTIF(K15:L15,"*,"&amp;F21&amp;",*")+COUNTIF(N15:O15,F21)+COUNTIF(N15:O15,"*,"&amp;F21&amp;",*")+COUNTIF(B17:C17,F21)+COUNTIF(B17:C17,"*,"&amp;F21&amp;",*")+COUNTIF(E17:F17,F21)+COUNTIF(E17:F17,"*,"&amp;F21&amp;",*")+COUNTIF(H17:I17,F21)+COUNTIF(H17:I17,"*,"&amp;F21&amp;",*")+COUNTIF(K17:L17,F21)+COUNTIF(K17:L17,"*,"&amp;F21&amp;",*")+COUNTIF(N17:O17,F21)+COUNTIF(N17:O17,"*,"&amp;F21&amp;",*")))</f>
        <v/>
      </c>
      <c r="G24" s="21">
        <f>IF(G21="","",IF(COUNTIF(B5:C5,G21)+COUNTIF(B5:C5,"*,"&amp;G21&amp;",*")+COUNTIF(E5:F5,G21)+COUNTIF(E5:F5,"*,"&amp;G21&amp;",*")+COUNTIF(H5:I5,G21)+COUNTIF(H5:I5,"*,"&amp;G21&amp;",*")+COUNTIF(K5:L5,G21)+COUNTIF(K5:L5,"*,"&amp;G21&amp;",*")+COUNTIF(N5:O5,G21)+COUNTIF(N5:O5,"*,"&amp;G21&amp;",*")+COUNTIF(B7:C7,G21)+COUNTIF(B7:C7,"*,"&amp;G21&amp;",*")+COUNTIF(E7:F7,G21)+COUNTIF(E7:F7,"*,"&amp;G21&amp;",*")+COUNTIF(H7:I7,G21)+COUNTIF(H7:I7,"*,"&amp;G21&amp;",*")+COUNTIF(K7:L7,G21)+COUNTIF(K7:L7,"*,"&amp;G21&amp;",*")+COUNTIF(N7:O7,G21)+COUNTIF(N7:O7,"*,"&amp;G21&amp;",*")+COUNTIF(B9:C9,G21)+COUNTIF(B9:C9,"*,"&amp;G21&amp;",*")+COUNTIF(E9:F9,G21)+COUNTIF(E9:F9,"*,"&amp;G21&amp;",*")+COUNTIF(H9:I9,G21)+COUNTIF(H9:I9,"*,"&amp;G21&amp;",*")+COUNTIF(K9:L9,G21)+COUNTIF(K9:L9,"*,"&amp;G21&amp;",*")+COUNTIF(N9:O9,G21)+COUNTIF(N9:O9,"*,"&amp;G21&amp;",*")+COUNTIF(B11:C11,G21)+COUNTIF(B11:C11,"*,"&amp;G21&amp;",*")+COUNTIF(E11:F11,G21)+COUNTIF(E11:F11,"*,"&amp;G21&amp;",*")+COUNTIF(H11:I11,G21)+COUNTIF(H11:I11,"*,"&amp;G21&amp;",*")+COUNTIF(K11:L11,G21)+COUNTIF(K11:L11,"*,"&amp;G21&amp;",*")+COUNTIF(N11:O11,G21)+COUNTIF(N11:O11,"*,"&amp;G21&amp;",*")+COUNTIF(B13:C13,G21)+COUNTIF(B13:C13,"*,"&amp;G21&amp;",*")+COUNTIF(E13:F13,G21)+COUNTIF(E13:F13,"*,"&amp;G21&amp;",*")+COUNTIF(H13:I13,G21)+COUNTIF(H13:I13,"*,"&amp;G21&amp;",*")+COUNTIF(K13:L13,G21)+COUNTIF(K13:L13,"*,"&amp;G21&amp;",*")+COUNTIF(N13:O13,G21)+COUNTIF(N13:O13,"*,"&amp;G21&amp;",*")+COUNTIF(B15:C15,G21)+COUNTIF(B15:C15,"*,"&amp;G21&amp;",*")+COUNTIF(E15:F15,G21)+COUNTIF(E15:F15,"*,"&amp;G21&amp;",*")+COUNTIF(H15:I15,G21)+COUNTIF(H15:I15,"*,"&amp;G21&amp;",*")+COUNTIF(K15:L15,G21)+COUNTIF(K15:L15,"*,"&amp;G21&amp;",*")+COUNTIF(N15:O15,G21)+COUNTIF(N15:O15,"*,"&amp;G21&amp;",*")+COUNTIF(B17:C17,G21)+COUNTIF(B17:C17,"*,"&amp;G21&amp;",*")+COUNTIF(E17:F17,G21)+COUNTIF(E17:F17,"*,"&amp;G21&amp;",*")+COUNTIF(H17:I17,G21)+COUNTIF(H17:I17,"*,"&amp;G21&amp;",*")+COUNTIF(K17:L17,G21)+COUNTIF(K17:L17,"*,"&amp;G21&amp;",*")+COUNTIF(N17:O17,G21)+COUNTIF(N17:O17,"*,"&amp;G21&amp;",*")=0,"",COUNTIF(B5:C5,G21)+COUNTIF(B5:C5,"*,"&amp;G21&amp;",*")+COUNTIF(E5:F5,G21)+COUNTIF(E5:F5,"*,"&amp;G21&amp;",*")+COUNTIF(H5:I5,G21)+COUNTIF(H5:I5,"*,"&amp;G21&amp;",*")+COUNTIF(K5:L5,G21)+COUNTIF(K5:L5,"*,"&amp;G21&amp;",*")+COUNTIF(N5:O5,G21)+COUNTIF(N5:O5,"*,"&amp;G21&amp;",*")+COUNTIF(B7:C7,G21)+COUNTIF(B7:C7,"*,"&amp;G21&amp;",*")+COUNTIF(E7:F7,G21)+COUNTIF(E7:F7,"*,"&amp;G21&amp;",*")+COUNTIF(H7:I7,G21)+COUNTIF(H7:I7,"*,"&amp;G21&amp;",*")+COUNTIF(K7:L7,G21)+COUNTIF(K7:L7,"*,"&amp;G21&amp;",*")+COUNTIF(N7:O7,G21)+COUNTIF(N7:O7,"*,"&amp;G21&amp;",*")+COUNTIF(B9:C9,G21)+COUNTIF(B9:C9,"*,"&amp;G21&amp;",*")+COUNTIF(E9:F9,G21)+COUNTIF(E9:F9,"*,"&amp;G21&amp;",*")+COUNTIF(H9:I9,G21)+COUNTIF(H9:I9,"*,"&amp;G21&amp;",*")+COUNTIF(K9:L9,G21)+COUNTIF(K9:L9,"*,"&amp;G21&amp;",*")+COUNTIF(N9:O9,G21)+COUNTIF(N9:O9,"*,"&amp;G21&amp;",*")+COUNTIF(B11:C11,G21)+COUNTIF(B11:C11,"*,"&amp;G21&amp;",*")+COUNTIF(E11:F11,G21)+COUNTIF(E11:F11,"*,"&amp;G21&amp;",*")+COUNTIF(H11:I11,G21)+COUNTIF(H11:I11,"*,"&amp;G21&amp;",*")+COUNTIF(K11:L11,G21)+COUNTIF(K11:L11,"*,"&amp;G21&amp;",*")+COUNTIF(N11:O11,G21)+COUNTIF(N11:O11,"*,"&amp;G21&amp;",*")+COUNTIF(B13:C13,G21)+COUNTIF(B13:C13,"*,"&amp;G21&amp;",*")+COUNTIF(E13:F13,G21)+COUNTIF(E13:F13,"*,"&amp;G21&amp;",*")+COUNTIF(H13:I13,G21)+COUNTIF(H13:I13,"*,"&amp;G21&amp;",*")+COUNTIF(K13:L13,G21)+COUNTIF(K13:L13,"*,"&amp;G21&amp;",*")+COUNTIF(N13:O13,G21)+COUNTIF(N13:O13,"*,"&amp;G21&amp;",*")+COUNTIF(B15:C15,G21)+COUNTIF(B15:C15,"*,"&amp;G21&amp;",*")+COUNTIF(E15:F15,G21)+COUNTIF(E15:F15,"*,"&amp;G21&amp;",*")+COUNTIF(H15:I15,G21)+COUNTIF(H15:I15,"*,"&amp;G21&amp;",*")+COUNTIF(K15:L15,G21)+COUNTIF(K15:L15,"*,"&amp;G21&amp;",*")+COUNTIF(N15:O15,G21)+COUNTIF(N15:O15,"*,"&amp;G21&amp;",*")+COUNTIF(B17:C17,G21)+COUNTIF(B17:C17,"*,"&amp;G21&amp;",*")+COUNTIF(E17:F17,G21)+COUNTIF(E17:F17,"*,"&amp;G21&amp;",*")+COUNTIF(H17:I17,G21)+COUNTIF(H17:I17,"*,"&amp;G21&amp;",*")+COUNTIF(K17:L17,G21)+COUNTIF(K17:L17,"*,"&amp;G21&amp;",*")+COUNTIF(N17:O17,G21)+COUNTIF(N17:O17,"*,"&amp;G21&amp;",*")))</f>
        <v/>
      </c>
      <c r="H24" s="21"/>
      <c r="I24" s="21"/>
      <c r="J24" s="21"/>
      <c r="K24" s="21"/>
      <c r="L24" s="21"/>
      <c r="M24" s="21">
        <f>IF(COUNTIF(B5:C5,"特活")+COUNTIF(B5:C5,"学活")+COUNTIF(E5:F5,"特活")+COUNTIF(E5:F5,"学活")+COUNTIF(H5:I5,"特活")+COUNTIF(H5:I5,"学活")+COUNTIF(K5:L5,"特活")+COUNTIF(K5:L5,"学活")+COUNTIF(N5:O5,"特活")+COUNTIF(N5:O5,"学活")+COUNTIF(B7:C7,"特活")+COUNTIF(B7:C7,"学活")+COUNTIF(E7:F7,"特活")+COUNTIF(E7:F7,"学活")+COUNTIF(H7:I7,"特活")+COUNTIF(H7:I7,"学活")+COUNTIF(K7:L7,"特活")+COUNTIF(K7:L7,"学活")+COUNTIF(N7:O7,"特活")+COUNTIF(N7:O7,"学活")+COUNTIF(B9:C9,"特活")+COUNTIF(B9:C9,"学活")+COUNTIF(E9:F9,"特活")+COUNTIF(E9:F9,"学活")+COUNTIF(H9:I9,"特活")+COUNTIF(H9:I9,"学活")+COUNTIF(K9:L9,"特活")+COUNTIF(K9:L9,"学活")+COUNTIF(N9:O9,"特活")+COUNTIF(N9:O9,"学活")+COUNTIF(B11:C11,"特活")+COUNTIF(B11:C11,"学活")+COUNTIF(E11:F11,"特活")+COUNTIF(E11:F11,"学活")+COUNTIF(H11:I11,"特活")+COUNTIF(H11:I11,"学活")+COUNTIF(K11:L11,"特活")+COUNTIF(K11:L11,"学活")+COUNTIF(N11:O11,"特活")+COUNTIF(N11:O11,"学活")+COUNTIF(B13:C13,"特活")+COUNTIF(B13:C13,"学活")+COUNTIF(E13:F13,"特活")+COUNTIF(E13:F13,"学活")+COUNTIF(H13:I13,"特活")+COUNTIF(H13:I13,"学活")+COUNTIF(K13:L13,"特活")+COUNTIF(K13:L13,"学活")+COUNTIF(N13:O13,"特活")+COUNTIF(N13:O13,"学活")+COUNTIF(B15:C15,"特活")+COUNTIF(B15:C15,"学活")+COUNTIF(E15:F15,"特活")+COUNTIF(E15:F15,"学活")+COUNTIF(H15:I15,"特活")+COUNTIF(H15:I15,"学活")+COUNTIF(K15:L15,"特活")+COUNTIF(K15:L15,"学活")+COUNTIF(N15:O15,"特活")+COUNTIF(N15:O15,"学活")+COUNTIF(B17:C17,"特活")+COUNTIF(B17:C17,"学活")+COUNTIF(E17:F17,"特活")+COUNTIF(E17:F17,"学活")+COUNTIF(H17:I17,"特活")+COUNTIF(H17:I17,"学活")+COUNTIF(K17:L17,"特活")+COUNTIF(K17:L17,"学活")+COUNTIF(N17:O17,"特活")+COUNTIF(N17:O17,"学活")=0,"",COUNTIF(B5:C5,"特活")+COUNTIF(B5:C5,"学活")+COUNTIF(E5:F5,"特活")+COUNTIF(E5:F5,"学活")+COUNTIF(H5:I5,"特活")+COUNTIF(H5:I5,"学活")+COUNTIF(K5:L5,"特活")+COUNTIF(K5:L5,"学活")+COUNTIF(N5:O5,"特活")+COUNTIF(N5:O5,"学活")+COUNTIF(B7:C7,"特活")+COUNTIF(B7:C7,"学活")+COUNTIF(E7:F7,"特活")+COUNTIF(E7:F7,"学活")+COUNTIF(H7:I7,"特活")+COUNTIF(H7:I7,"学活")+COUNTIF(K7:L7,"特活")+COUNTIF(K7:L7,"学活")+COUNTIF(N7:O7,"特活")+COUNTIF(N7:O7,"学活")+COUNTIF(B9:C9,"特活")+COUNTIF(B9:C9,"学活")+COUNTIF(E9:F9,"特活")+COUNTIF(E9:F9,"学活")+COUNTIF(H9:I9,"特活")+COUNTIF(H9:I9,"学活")+COUNTIF(K9:L9,"特活")+COUNTIF(K9:L9,"学活")+COUNTIF(N9:O9,"特活")+COUNTIF(N9:O9,"学活")+COUNTIF(B11:C11,"特活")+COUNTIF(B11:C11,"学活")+COUNTIF(E11:F11,"特活")+COUNTIF(E11:F11,"学活")+COUNTIF(H11:I11,"特活")+COUNTIF(H11:I11,"学活")+COUNTIF(K11:L11,"特活")+COUNTIF(K11:L11,"学活")+COUNTIF(N11:O11,"特活")+COUNTIF(N11:O11,"学活")+COUNTIF(B13:C13,"特活")+COUNTIF(B13:C13,"学活")+COUNTIF(E13:F13,"特活")+COUNTIF(E13:F13,"学活")+COUNTIF(H13:I13,"特活")+COUNTIF(H13:I13,"学活")+COUNTIF(K13:L13,"特活")+COUNTIF(K13:L13,"学活")+COUNTIF(N13:O13,"特活")+COUNTIF(N13:O13,"学活")+COUNTIF(B15:C15,"特活")+COUNTIF(B15:C15,"学活")+COUNTIF(E15:F15,"特活")+COUNTIF(E15:F15,"学活")+COUNTIF(H15:I15,"特活")+COUNTIF(H15:I15,"学活")+COUNTIF(K15:L15,"特活")+COUNTIF(K15:L15,"学活")+COUNTIF(N15:O15,"特活")+COUNTIF(N15:O15,"学活")+COUNTIF(B17:C17,"特活")+COUNTIF(B17:C17,"学活")+COUNTIF(E17:F17,"特活")+COUNTIF(E17:F17,"学活")+COUNTIF(H17:I17,"特活")+COUNTIF(H17:I17,"学活")+COUNTIF(K17:L17,"特活")+COUNTIF(K17:L17,"学活")+COUNTIF(N17:O17,"特活")+COUNTIF(N17:O17,"学活"))</f>
        <v/>
      </c>
      <c r="N24" s="21">
        <f>IF(COUNTIF(B5:C5,N21)+COUNTIF(B5:C5,"*,"&amp;N21&amp;",*")+COUNTIF(E5:F5,N21)+COUNTIF(E5:F5,"*,"&amp;N21&amp;",*")+COUNTIF(H5:I5,N21)+COUNTIF(H5:I5,"*,"&amp;N21&amp;",*")+COUNTIF(K5:L5,N21)+COUNTIF(K5:L5,"*,"&amp;N21&amp;",*")+COUNTIF(N5:O5,N21)+COUNTIF(N5:O5,"*,"&amp;N21&amp;",*")+COUNTIF(B7:C7,N21)+COUNTIF(B7:C7,"*,"&amp;N21&amp;",*")+COUNTIF(E7:F7,N21)+COUNTIF(E7:F7,"*,"&amp;N21&amp;",*")+COUNTIF(H7:I7,N21)+COUNTIF(H7:I7,"*,"&amp;N21&amp;",*")+COUNTIF(K7:L7,N21)+COUNTIF(K7:L7,"*,"&amp;N21&amp;",*")+COUNTIF(N7:O7,N21)+COUNTIF(N7:O7,"*,"&amp;N21&amp;",*")+COUNTIF(B9:C9,N21)+COUNTIF(B9:C9,"*,"&amp;N21&amp;",*")+COUNTIF(E9:F9,N21)+COUNTIF(E9:F9,"*,"&amp;N21&amp;",*")+COUNTIF(H9:I9,N21)+COUNTIF(H9:I9,"*,"&amp;N21&amp;",*")+COUNTIF(K9:L9,N21)+COUNTIF(K9:L9,"*,"&amp;N21&amp;",*")+COUNTIF(N9:O9,N21)+COUNTIF(N9:O9,"*,"&amp;N21&amp;",*")+COUNTIF(B11:C11,N21)+COUNTIF(B11:C11,"*,"&amp;N21&amp;",*")+COUNTIF(E11:F11,N21)+COUNTIF(E11:F11,"*,"&amp;N21&amp;",*")+COUNTIF(H11:I11,N21)+COUNTIF(H11:I11,"*,"&amp;N21&amp;",*")+COUNTIF(K11:L11,N21)+COUNTIF(K11:L11,"*,"&amp;N21&amp;",*")+COUNTIF(N11:O11,N21)+COUNTIF(N11:O11,"*,"&amp;N21&amp;",*")+COUNTIF(B13:C13,N21)+COUNTIF(B13:C13,"*,"&amp;N21&amp;",*")+COUNTIF(E13:F13,N21)+COUNTIF(E13:F13,"*,"&amp;N21&amp;",*")+COUNTIF(H13:I13,N21)+COUNTIF(H13:I13,"*,"&amp;N21&amp;",*")+COUNTIF(K13:L13,N21)+COUNTIF(K13:L13,"*,"&amp;N21&amp;",*")+COUNTIF(N13:O13,N21)+COUNTIF(N13:O13,"*,"&amp;N21&amp;",*")+COUNTIF(B15:C15,N21)+COUNTIF(B15:C15,"*,"&amp;N21&amp;",*")+COUNTIF(E15:F15,N21)+COUNTIF(E15:F15,"*,"&amp;N21&amp;",*")+COUNTIF(H15:I15,N21)+COUNTIF(H15:I15,"*,"&amp;N21&amp;",*")+COUNTIF(K15:L15,N21)+COUNTIF(K15:L15,"*,"&amp;N21&amp;",*")+COUNTIF(N15:O15,N21)+COUNTIF(N15:O15,"*,"&amp;N21&amp;",*")+COUNTIF(B17:C17,N21)+COUNTIF(B17:C17,"*,"&amp;N21&amp;",*")+COUNTIF(E17:F17,N21)+COUNTIF(E17:F17,"*,"&amp;N21&amp;",*")+COUNTIF(H17:I17,N21)+COUNTIF(H17:I17,"*,"&amp;N21&amp;",*")+COUNTIF(K17:L17,N21)+COUNTIF(K17:L17,"*,"&amp;N21&amp;",*")+COUNTIF(N17:O17,N21)+COUNTIF(N17:O17,"*,"&amp;N21&amp;",*")=0,"",COUNTIF(B5:C5,N21)+COUNTIF(B5:C5,"*,"&amp;N21&amp;",*")+COUNTIF(E5:F5,N21)+COUNTIF(E5:F5,"*,"&amp;N21&amp;",*")+COUNTIF(H5:I5,N21)+COUNTIF(H5:I5,"*,"&amp;N21&amp;",*")+COUNTIF(K5:L5,N21)+COUNTIF(K5:L5,"*,"&amp;N21&amp;",*")+COUNTIF(N5:O5,N21)+COUNTIF(N5:O5,"*,"&amp;N21&amp;",*")+COUNTIF(B7:C7,N21)+COUNTIF(B7:C7,"*,"&amp;N21&amp;",*")+COUNTIF(E7:F7,N21)+COUNTIF(E7:F7,"*,"&amp;N21&amp;",*")+COUNTIF(H7:I7,N21)+COUNTIF(H7:I7,"*,"&amp;N21&amp;",*")+COUNTIF(K7:L7,N21)+COUNTIF(K7:L7,"*,"&amp;N21&amp;",*")+COUNTIF(N7:O7,N21)+COUNTIF(N7:O7,"*,"&amp;N21&amp;",*")+COUNTIF(B9:C9,N21)+COUNTIF(B9:C9,"*,"&amp;N21&amp;",*")+COUNTIF(E9:F9,N21)+COUNTIF(E9:F9,"*,"&amp;N21&amp;",*")+COUNTIF(H9:I9,N21)+COUNTIF(H9:I9,"*,"&amp;N21&amp;",*")+COUNTIF(K9:L9,N21)+COUNTIF(K9:L9,"*,"&amp;N21&amp;",*")+COUNTIF(N9:O9,N21)+COUNTIF(N9:O9,"*,"&amp;N21&amp;",*")+COUNTIF(B11:C11,N21)+COUNTIF(B11:C11,"*,"&amp;N21&amp;",*")+COUNTIF(E11:F11,N21)+COUNTIF(E11:F11,"*,"&amp;N21&amp;",*")+COUNTIF(H11:I11,N21)+COUNTIF(H11:I11,"*,"&amp;N21&amp;",*")+COUNTIF(K11:L11,N21)+COUNTIF(K11:L11,"*,"&amp;N21&amp;",*")+COUNTIF(N11:O11,N21)+COUNTIF(N11:O11,"*,"&amp;N21&amp;",*")+COUNTIF(B13:C13,N21)+COUNTIF(B13:C13,"*,"&amp;N21&amp;",*")+COUNTIF(E13:F13,N21)+COUNTIF(E13:F13,"*,"&amp;N21&amp;",*")+COUNTIF(H13:I13,N21)+COUNTIF(H13:I13,"*,"&amp;N21&amp;",*")+COUNTIF(K13:L13,N21)+COUNTIF(K13:L13,"*,"&amp;N21&amp;",*")+COUNTIF(N13:O13,N21)+COUNTIF(N13:O13,"*,"&amp;N21&amp;",*")+COUNTIF(B15:C15,N21)+COUNTIF(B15:C15,"*,"&amp;N21&amp;",*")+COUNTIF(E15:F15,N21)+COUNTIF(E15:F15,"*,"&amp;N21&amp;",*")+COUNTIF(H15:I15,N21)+COUNTIF(H15:I15,"*,"&amp;N21&amp;",*")+COUNTIF(K15:L15,N21)+COUNTIF(K15:L15,"*,"&amp;N21&amp;",*")+COUNTIF(N15:O15,N21)+COUNTIF(N15:O15,"*,"&amp;N21&amp;",*")+COUNTIF(B17:C17,N21)+COUNTIF(B17:C17,"*,"&amp;N21&amp;",*")+COUNTIF(E17:F17,N21)+COUNTIF(E17:F17,"*,"&amp;N21&amp;",*")+COUNTIF(H17:I17,N21)+COUNTIF(H17:I17,"*,"&amp;N21&amp;",*")+COUNTIF(K17:L17,N21)+COUNTIF(K17:L17,"*,"&amp;N21&amp;",*")+COUNTIF(N17:O17,N21)+COUNTIF(N17:O17,"*,"&amp;N21&amp;",*"))</f>
        <v/>
      </c>
      <c r="O24" s="21">
        <f>IF(COUNTIF(B5:C5,O21)+COUNTIF(B5:C5,"*,"&amp;O21&amp;",*")+COUNTIF(E5:F5,O21)+COUNTIF(E5:F5,"*,"&amp;O21&amp;",*")+COUNTIF(H5:I5,O21)+COUNTIF(H5:I5,"*,"&amp;O21&amp;",*")+COUNTIF(K5:L5,O21)+COUNTIF(K5:L5,"*,"&amp;O21&amp;",*")+COUNTIF(N5:O5,O21)+COUNTIF(N5:O5,"*,"&amp;O21&amp;",*")+COUNTIF(B7:C7,O21)+COUNTIF(B7:C7,"*,"&amp;O21&amp;",*")+COUNTIF(E7:F7,O21)+COUNTIF(E7:F7,"*,"&amp;O21&amp;",*")+COUNTIF(H7:I7,O21)+COUNTIF(H7:I7,"*,"&amp;O21&amp;",*")+COUNTIF(K7:L7,O21)+COUNTIF(K7:L7,"*,"&amp;O21&amp;",*")+COUNTIF(N7:O7,O21)+COUNTIF(N7:O7,"*,"&amp;O21&amp;",*")+COUNTIF(B9:C9,O21)+COUNTIF(B9:C9,"*,"&amp;O21&amp;",*")+COUNTIF(E9:F9,O21)+COUNTIF(E9:F9,"*,"&amp;O21&amp;",*")+COUNTIF(H9:I9,O21)+COUNTIF(H9:I9,"*,"&amp;O21&amp;",*")+COUNTIF(K9:L9,O21)+COUNTIF(K9:L9,"*,"&amp;O21&amp;",*")+COUNTIF(N9:O9,O21)+COUNTIF(N9:O9,"*,"&amp;O21&amp;",*")+COUNTIF(B11:C11,O21)+COUNTIF(B11:C11,"*,"&amp;O21&amp;",*")+COUNTIF(E11:F11,O21)+COUNTIF(E11:F11,"*,"&amp;O21&amp;",*")+COUNTIF(H11:I11,O21)+COUNTIF(H11:I11,"*,"&amp;O21&amp;",*")+COUNTIF(K11:L11,O21)+COUNTIF(K11:L11,"*,"&amp;O21&amp;",*")+COUNTIF(N11:O11,O21)+COUNTIF(N11:O11,"*,"&amp;O21&amp;",*")+COUNTIF(B13:C13,O21)+COUNTIF(B13:C13,"*,"&amp;O21&amp;",*")+COUNTIF(E13:F13,O21)+COUNTIF(E13:F13,"*,"&amp;O21&amp;",*")+COUNTIF(H13:I13,O21)+COUNTIF(H13:I13,"*,"&amp;O21&amp;",*")+COUNTIF(K13:L13,O21)+COUNTIF(K13:L13,"*,"&amp;O21&amp;",*")+COUNTIF(N13:O13,O21)+COUNTIF(N13:O13,"*,"&amp;O21&amp;",*")+COUNTIF(B15:C15,O21)+COUNTIF(B15:C15,"*,"&amp;O21&amp;",*")+COUNTIF(E15:F15,O21)+COUNTIF(E15:F15,"*,"&amp;O21&amp;",*")+COUNTIF(H15:I15,O21)+COUNTIF(H15:I15,"*,"&amp;O21&amp;",*")+COUNTIF(K15:L15,O21)+COUNTIF(K15:L15,"*,"&amp;O21&amp;",*")+COUNTIF(N15:O15,O21)+COUNTIF(N15:O15,"*,"&amp;O21&amp;",*")+COUNTIF(B17:C17,O21)+COUNTIF(B17:C17,"*,"&amp;O21&amp;",*")+COUNTIF(E17:F17,O21)+COUNTIF(E17:F17,"*,"&amp;O21&amp;",*")+COUNTIF(H17:I17,O21)+COUNTIF(H17:I17,"*,"&amp;O21&amp;",*")+COUNTIF(K17:L17,O21)+COUNTIF(K17:L17,"*,"&amp;O21&amp;",*")+COUNTIF(N17:O17,O21)+COUNTIF(N17:O17,"*,"&amp;O21&amp;",*")=0,"",COUNTIF(B5:C5,O21)+COUNTIF(B5:C5,"*,"&amp;O21&amp;",*")+COUNTIF(E5:F5,O21)+COUNTIF(E5:F5,"*,"&amp;O21&amp;",*")+COUNTIF(H5:I5,O21)+COUNTIF(H5:I5,"*,"&amp;O21&amp;",*")+COUNTIF(K5:L5,O21)+COUNTIF(K5:L5,"*,"&amp;O21&amp;",*")+COUNTIF(N5:O5,O21)+COUNTIF(N5:O5,"*,"&amp;O21&amp;",*")+COUNTIF(B7:C7,O21)+COUNTIF(B7:C7,"*,"&amp;O21&amp;",*")+COUNTIF(E7:F7,O21)+COUNTIF(E7:F7,"*,"&amp;O21&amp;",*")+COUNTIF(H7:I7,O21)+COUNTIF(H7:I7,"*,"&amp;O21&amp;",*")+COUNTIF(K7:L7,O21)+COUNTIF(K7:L7,"*,"&amp;O21&amp;",*")+COUNTIF(N7:O7,O21)+COUNTIF(N7:O7,"*,"&amp;O21&amp;",*")+COUNTIF(B9:C9,O21)+COUNTIF(B9:C9,"*,"&amp;O21&amp;",*")+COUNTIF(E9:F9,O21)+COUNTIF(E9:F9,"*,"&amp;O21&amp;",*")+COUNTIF(H9:I9,O21)+COUNTIF(H9:I9,"*,"&amp;O21&amp;",*")+COUNTIF(K9:L9,O21)+COUNTIF(K9:L9,"*,"&amp;O21&amp;",*")+COUNTIF(N9:O9,O21)+COUNTIF(N9:O9,"*,"&amp;O21&amp;",*")+COUNTIF(B11:C11,O21)+COUNTIF(B11:C11,"*,"&amp;O21&amp;",*")+COUNTIF(E11:F11,O21)+COUNTIF(E11:F11,"*,"&amp;O21&amp;",*")+COUNTIF(H11:I11,O21)+COUNTIF(H11:I11,"*,"&amp;O21&amp;",*")+COUNTIF(K11:L11,O21)+COUNTIF(K11:L11,"*,"&amp;O21&amp;",*")+COUNTIF(N11:O11,O21)+COUNTIF(N11:O11,"*,"&amp;O21&amp;",*")+COUNTIF(B13:C13,O21)+COUNTIF(B13:C13,"*,"&amp;O21&amp;",*")+COUNTIF(E13:F13,O21)+COUNTIF(E13:F13,"*,"&amp;O21&amp;",*")+COUNTIF(H13:I13,O21)+COUNTIF(H13:I13,"*,"&amp;O21&amp;",*")+COUNTIF(K13:L13,O21)+COUNTIF(K13:L13,"*,"&amp;O21&amp;",*")+COUNTIF(N13:O13,O21)+COUNTIF(N13:O13,"*,"&amp;O21&amp;",*")+COUNTIF(B15:C15,O21)+COUNTIF(B15:C15,"*,"&amp;O21&amp;",*")+COUNTIF(E15:F15,O21)+COUNTIF(E15:F15,"*,"&amp;O21&amp;",*")+COUNTIF(H15:I15,O21)+COUNTIF(H15:I15,"*,"&amp;O21&amp;",*")+COUNTIF(K15:L15,O21)+COUNTIF(K15:L15,"*,"&amp;O21&amp;",*")+COUNTIF(N15:O15,O21)+COUNTIF(N15:O15,"*,"&amp;O21&amp;",*")+COUNTIF(B17:C17,O21)+COUNTIF(B17:C17,"*,"&amp;O21&amp;",*")+COUNTIF(E17:F17,O21)+COUNTIF(E17:F17,"*,"&amp;O21&amp;",*")+COUNTIF(H17:I17,O21)+COUNTIF(H17:I17,"*,"&amp;O21&amp;",*")+COUNTIF(K17:L17,O21)+COUNTIF(K17:L17,"*,"&amp;O21&amp;",*")+COUNTIF(N17:O17,O21)+COUNTIF(N17:O17,"*,"&amp;O21&amp;",*"))</f>
        <v/>
      </c>
      <c r="P24" s="22">
        <f>IF(SUM(B24:O24)=0,"",SUM(B24:O24))</f>
        <v/>
      </c>
    </row>
    <row r="25" spans="1:16" ht="13.5" customHeight="1" x14ac:dyDescent="0.2">
      <c r="A25" s="23" t="s">
        <v>52</v>
      </c>
      <c r="B25" s="26"/>
      <c r="C25" s="26"/>
      <c r="D25" s="26"/>
      <c r="E25" s="26"/>
      <c r="F25" s="26"/>
      <c r="G25" s="26"/>
      <c r="H25" s="26"/>
      <c r="I25" s="26"/>
      <c r="J25" s="26"/>
      <c r="K25" s="26"/>
      <c r="L25" s="26"/>
      <c r="M25" s="26"/>
      <c r="N25" s="26"/>
      <c r="O25" s="24"/>
      <c r="P25" s="18">
        <f>IF(SUM(B25:O25)=0,"",SUM(B25:O25))</f>
        <v/>
      </c>
    </row>
  </sheetData>
  <sheetProtection sheet="1" objects="1" scenarios="1"/>
  <mergeCells count="104">
    <mergeCell ref="A1:G1"/>
    <mergeCell ref="I1:J1"/>
    <mergeCell ref="K1:L1"/>
    <mergeCell ref="M1:N1"/>
    <mergeCell ref="O1:P1"/>
    <mergeCell ref="A2:A3"/>
    <mergeCell ref="B2:D2"/>
    <mergeCell ref="E2:G2"/>
    <mergeCell ref="H2:J2"/>
    <mergeCell ref="K2:M2"/>
    <mergeCell ref="A5:A6"/>
    <mergeCell ref="B5:C5"/>
    <mergeCell ref="E5:F5"/>
    <mergeCell ref="H5:I5"/>
    <mergeCell ref="K5:L5"/>
    <mergeCell ref="N2:P2"/>
    <mergeCell ref="B3:D3"/>
    <mergeCell ref="E3:G3"/>
    <mergeCell ref="H3:J3"/>
    <mergeCell ref="K3:M3"/>
    <mergeCell ref="N3:P3"/>
    <mergeCell ref="N5:O5"/>
    <mergeCell ref="B6:D6"/>
    <mergeCell ref="E6:G6"/>
    <mergeCell ref="H6:J6"/>
    <mergeCell ref="K6:M6"/>
    <mergeCell ref="N6:P6"/>
    <mergeCell ref="B4:D4"/>
    <mergeCell ref="E4:G4"/>
    <mergeCell ref="H4:J4"/>
    <mergeCell ref="K4:M4"/>
    <mergeCell ref="N4:P4"/>
    <mergeCell ref="N8:P8"/>
    <mergeCell ref="A9:A10"/>
    <mergeCell ref="B9:C9"/>
    <mergeCell ref="E9:F9"/>
    <mergeCell ref="H9:I9"/>
    <mergeCell ref="K9:L9"/>
    <mergeCell ref="N9:O9"/>
    <mergeCell ref="B10:D10"/>
    <mergeCell ref="E10:G10"/>
    <mergeCell ref="H10:J10"/>
    <mergeCell ref="A7:A8"/>
    <mergeCell ref="B7:C7"/>
    <mergeCell ref="E7:F7"/>
    <mergeCell ref="H7:I7"/>
    <mergeCell ref="K7:L7"/>
    <mergeCell ref="N7:O7"/>
    <mergeCell ref="B8:D8"/>
    <mergeCell ref="E8:G8"/>
    <mergeCell ref="H8:J8"/>
    <mergeCell ref="K8:M8"/>
    <mergeCell ref="K10:M10"/>
    <mergeCell ref="N10:P10"/>
    <mergeCell ref="A11:A12"/>
    <mergeCell ref="B11:C11"/>
    <mergeCell ref="E11:F11"/>
    <mergeCell ref="H11:I11"/>
    <mergeCell ref="K11:L11"/>
    <mergeCell ref="N11:O11"/>
    <mergeCell ref="B12:D12"/>
    <mergeCell ref="E12:G12"/>
    <mergeCell ref="H12:J12"/>
    <mergeCell ref="K12:M12"/>
    <mergeCell ref="N12:P12"/>
    <mergeCell ref="A13:A14"/>
    <mergeCell ref="B13:C13"/>
    <mergeCell ref="E13:F13"/>
    <mergeCell ref="H13:I13"/>
    <mergeCell ref="K13:L13"/>
    <mergeCell ref="N13:O13"/>
    <mergeCell ref="B14:D14"/>
    <mergeCell ref="E14:G14"/>
    <mergeCell ref="H14:J14"/>
    <mergeCell ref="K14:M14"/>
    <mergeCell ref="N14:P14"/>
    <mergeCell ref="A15:A16"/>
    <mergeCell ref="B15:C15"/>
    <mergeCell ref="E15:F15"/>
    <mergeCell ref="H15:I15"/>
    <mergeCell ref="K15:L15"/>
    <mergeCell ref="N15:O15"/>
    <mergeCell ref="B16:D16"/>
    <mergeCell ref="E16:G16"/>
    <mergeCell ref="H16:J16"/>
    <mergeCell ref="K16:M16"/>
    <mergeCell ref="N16:P16"/>
    <mergeCell ref="N19:P19"/>
    <mergeCell ref="A23:A24"/>
    <mergeCell ref="N17:O17"/>
    <mergeCell ref="B18:D18"/>
    <mergeCell ref="E18:G18"/>
    <mergeCell ref="H18:J18"/>
    <mergeCell ref="K18:M18"/>
    <mergeCell ref="N18:P18"/>
    <mergeCell ref="A17:A18"/>
    <mergeCell ref="B17:C17"/>
    <mergeCell ref="E17:F17"/>
    <mergeCell ref="H17:I17"/>
    <mergeCell ref="K17:L17"/>
    <mergeCell ref="B19:D19"/>
    <mergeCell ref="E19:G19"/>
    <mergeCell ref="H19:J19"/>
    <mergeCell ref="K19:M19"/>
  </mergeCells>
  <phoneticPr fontId="5"/>
  <dataValidations count="1">
    <dataValidation type="list" allowBlank="1" showInputMessage="1" sqref="D5 P17 M17 J17 G17 D17 P15 M15 J15 G15 D15 P13 M13 J13 G13 D13 P11 M11 J11 G11 D11 P9 M9 J9 G9 D9 P7 M7 J7 G7 D7 P5 M5 J5 G5" xr:uid="{E1BF093E-5ACA-4BF1-BAFA-FF74D093896D}">
      <formula1>"×,月1,月2,月3,月4,月5,月6,月7,火1,火2,火3,火4,火5,火6,火7,水1,水2,水3,水4,水5,水6,水7,木1,木2,木3,木4,木5,木6,木7,金1,金2,金3,金4,金5,金6,金7"</formula1>
    </dataValidation>
  </dataValidations>
  <printOptions horizontalCentered="1"/>
  <pageMargins left="0.78740157480314965" right="0.78740157480314965" top="0.78740157480314965" bottom="0.78740157480314965" header="0" footer="0"/>
  <pageSetup paperSize="9" scale="93"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tn_0">
              <controlPr defaultSize="0" print="0" autoFill="0" autoPict="0" macro="[0]!ボタン_新しい週">
                <anchor moveWithCells="1" sizeWithCells="1">
                  <from>
                    <xdr:col>17</xdr:col>
                    <xdr:colOff>68580</xdr:colOff>
                    <xdr:row>3</xdr:row>
                    <xdr:rowOff>45720</xdr:rowOff>
                  </from>
                  <to>
                    <xdr:col>18</xdr:col>
                    <xdr:colOff>601980</xdr:colOff>
                    <xdr:row>3</xdr:row>
                    <xdr:rowOff>350520</xdr:rowOff>
                  </to>
                </anchor>
              </controlPr>
            </control>
          </mc:Choice>
        </mc:AlternateContent>
        <mc:AlternateContent xmlns:mc="http://schemas.openxmlformats.org/markup-compatibility/2006">
          <mc:Choice Requires="x14">
            <control shapeId="3074" r:id="rId5" name="Btn_1">
              <controlPr defaultSize="0" print="0" autoFill="0" autoPict="0" macro="[0]!ボタン_時間割展開">
                <anchor moveWithCells="1" sizeWithCells="1">
                  <from>
                    <xdr:col>17</xdr:col>
                    <xdr:colOff>68580</xdr:colOff>
                    <xdr:row>3</xdr:row>
                    <xdr:rowOff>449580</xdr:rowOff>
                  </from>
                  <to>
                    <xdr:col>18</xdr:col>
                    <xdr:colOff>601980</xdr:colOff>
                    <xdr:row>4</xdr:row>
                    <xdr:rowOff>60960</xdr:rowOff>
                  </to>
                </anchor>
              </controlPr>
            </control>
          </mc:Choice>
        </mc:AlternateContent>
        <mc:AlternateContent xmlns:mc="http://schemas.openxmlformats.org/markup-compatibility/2006">
          <mc:Choice Requires="x14">
            <control shapeId="3075" r:id="rId6" name="Btn_2">
              <controlPr defaultSize="0" print="0" autoFill="0" autoPict="0" macro="[0]!ボタン_累計更新">
                <anchor moveWithCells="1" sizeWithCells="1">
                  <from>
                    <xdr:col>17</xdr:col>
                    <xdr:colOff>68580</xdr:colOff>
                    <xdr:row>4</xdr:row>
                    <xdr:rowOff>160020</xdr:rowOff>
                  </from>
                  <to>
                    <xdr:col>18</xdr:col>
                    <xdr:colOff>601980</xdr:colOff>
                    <xdr:row>5</xdr:row>
                    <xdr:rowOff>236220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xr:uid="{83911A48-F8DE-4618-871B-659CEADD33D5}">
          <x14:formula1>
            <xm:f>基本設定!$B$6:$B$20</xm:f>
          </x14:formula1>
          <xm:sqref>N19 K19 H19 E19 B19 N17 K17 H17 E17 B17 N15 K15 H15 E15 B15 N13 K13 H13 E13 B13 N11 K11 H11 E11 B11 N9 K9 H9 E9 B9 N7 K7 H7 E7 B7 N5 K5 H5 E5 B5</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D92F7B-1584-4370-8BC3-8D09C0D22F55}">
  <sheetPr codeName="Sheet5">
    <tabColor rgb="FFC0392B"/>
    <pageSetUpPr fitToPage="1"/>
  </sheetPr>
  <dimension ref="A1:P25"/>
  <sheetViews>
    <sheetView topLeftCell="A3" zoomScale="90" zoomScaleNormal="90" workbookViewId="0">
      <selection activeCell="O25" sqref="O25"/>
    </sheetView>
  </sheetViews>
  <sheetFormatPr defaultColWidth="8.77734375" defaultRowHeight="13.2" x14ac:dyDescent="0.2"/>
  <cols>
    <col min="1" max="1" width="5.44140625" customWidth="1"/>
    <col min="2" max="16" width="5.77734375" customWidth="1"/>
  </cols>
  <sheetData>
    <row r="1" spans="1:16" ht="50.1" customHeight="1" x14ac:dyDescent="0.2">
      <c r="A1" s="51" t="s">
        <v>34</v>
      </c>
      <c r="B1" s="52"/>
      <c r="C1" s="52"/>
      <c r="D1" s="52"/>
      <c r="E1" s="52"/>
      <c r="F1" s="52"/>
      <c r="G1" s="52"/>
      <c r="H1" s="8" t="s">
        <v>35</v>
      </c>
      <c r="I1" s="53" t="s">
        <v>36</v>
      </c>
      <c r="J1" s="54"/>
      <c r="K1" s="53" t="s">
        <v>37</v>
      </c>
      <c r="L1" s="54"/>
      <c r="M1" s="53" t="s">
        <v>38</v>
      </c>
      <c r="N1" s="54"/>
      <c r="O1" s="53" t="s">
        <v>39</v>
      </c>
      <c r="P1" s="54"/>
    </row>
    <row r="2" spans="1:16" ht="15.6" customHeight="1" x14ac:dyDescent="0.2">
      <c r="A2" s="55" t="s">
        <v>40</v>
      </c>
      <c r="B2" s="57" t="s">
        <v>29</v>
      </c>
      <c r="C2" s="57"/>
      <c r="D2" s="57"/>
      <c r="E2" s="59" t="s">
        <v>30</v>
      </c>
      <c r="F2" s="59"/>
      <c r="G2" s="59"/>
      <c r="H2" s="45" t="s">
        <v>31</v>
      </c>
      <c r="I2" s="45"/>
      <c r="J2" s="45"/>
      <c r="K2" s="47" t="s">
        <v>32</v>
      </c>
      <c r="L2" s="47"/>
      <c r="M2" s="47"/>
      <c r="N2" s="49" t="s">
        <v>33</v>
      </c>
      <c r="O2" s="49"/>
      <c r="P2" s="49"/>
    </row>
    <row r="3" spans="1:16" ht="15" customHeight="1" x14ac:dyDescent="0.2">
      <c r="A3" s="56"/>
      <c r="B3" s="58" t="s">
        <v>41</v>
      </c>
      <c r="C3" s="58"/>
      <c r="D3" s="58"/>
      <c r="E3" s="60" t="s">
        <v>42</v>
      </c>
      <c r="F3" s="60"/>
      <c r="G3" s="60"/>
      <c r="H3" s="46" t="s">
        <v>43</v>
      </c>
      <c r="I3" s="46"/>
      <c r="J3" s="46"/>
      <c r="K3" s="48" t="s">
        <v>44</v>
      </c>
      <c r="L3" s="48"/>
      <c r="M3" s="48"/>
      <c r="N3" s="50" t="s">
        <v>45</v>
      </c>
      <c r="O3" s="50"/>
      <c r="P3" s="50"/>
    </row>
    <row r="4" spans="1:16" ht="54.9" customHeight="1" x14ac:dyDescent="0.2">
      <c r="A4" s="9" t="s">
        <v>46</v>
      </c>
      <c r="B4" s="40"/>
      <c r="C4" s="40"/>
      <c r="D4" s="40"/>
      <c r="E4" s="41"/>
      <c r="F4" s="41"/>
      <c r="G4" s="41"/>
      <c r="H4" s="42"/>
      <c r="I4" s="42"/>
      <c r="J4" s="42"/>
      <c r="K4" s="43"/>
      <c r="L4" s="43"/>
      <c r="M4" s="43"/>
      <c r="N4" s="44"/>
      <c r="O4" s="44"/>
      <c r="P4" s="44"/>
    </row>
    <row r="5" spans="1:16" ht="18" customHeight="1" x14ac:dyDescent="0.2">
      <c r="A5" s="39">
        <v>1</v>
      </c>
      <c r="B5" s="37"/>
      <c r="C5" s="37"/>
      <c r="D5" s="25"/>
      <c r="E5" s="37"/>
      <c r="F5" s="37"/>
      <c r="G5" s="25"/>
      <c r="H5" s="37"/>
      <c r="I5" s="37"/>
      <c r="J5" s="25"/>
      <c r="K5" s="37"/>
      <c r="L5" s="37"/>
      <c r="M5" s="25"/>
      <c r="N5" s="37"/>
      <c r="O5" s="37"/>
      <c r="P5" s="25"/>
    </row>
    <row r="6" spans="1:16" ht="62.1" customHeight="1" x14ac:dyDescent="0.2">
      <c r="A6" s="39"/>
      <c r="B6" s="38"/>
      <c r="C6" s="38"/>
      <c r="D6" s="38"/>
      <c r="E6" s="38"/>
      <c r="F6" s="38"/>
      <c r="G6" s="38"/>
      <c r="H6" s="38"/>
      <c r="I6" s="38"/>
      <c r="J6" s="38"/>
      <c r="K6" s="38"/>
      <c r="L6" s="38"/>
      <c r="M6" s="38"/>
      <c r="N6" s="38"/>
      <c r="O6" s="38"/>
      <c r="P6" s="38"/>
    </row>
    <row r="7" spans="1:16" ht="18" customHeight="1" x14ac:dyDescent="0.2">
      <c r="A7" s="39">
        <v>2</v>
      </c>
      <c r="B7" s="37"/>
      <c r="C7" s="37"/>
      <c r="D7" s="25"/>
      <c r="E7" s="37"/>
      <c r="F7" s="37"/>
      <c r="G7" s="25"/>
      <c r="H7" s="37"/>
      <c r="I7" s="37"/>
      <c r="J7" s="25"/>
      <c r="K7" s="37"/>
      <c r="L7" s="37"/>
      <c r="M7" s="25"/>
      <c r="N7" s="37"/>
      <c r="O7" s="37"/>
      <c r="P7" s="25"/>
    </row>
    <row r="8" spans="1:16" ht="62.1" customHeight="1" x14ac:dyDescent="0.2">
      <c r="A8" s="39"/>
      <c r="B8" s="38"/>
      <c r="C8" s="38"/>
      <c r="D8" s="38"/>
      <c r="E8" s="38"/>
      <c r="F8" s="38"/>
      <c r="G8" s="38"/>
      <c r="H8" s="38"/>
      <c r="I8" s="38"/>
      <c r="J8" s="38"/>
      <c r="K8" s="38"/>
      <c r="L8" s="38"/>
      <c r="M8" s="38"/>
      <c r="N8" s="38"/>
      <c r="O8" s="38"/>
      <c r="P8" s="38"/>
    </row>
    <row r="9" spans="1:16" ht="18" customHeight="1" x14ac:dyDescent="0.2">
      <c r="A9" s="39">
        <v>3</v>
      </c>
      <c r="B9" s="37"/>
      <c r="C9" s="37"/>
      <c r="D9" s="25"/>
      <c r="E9" s="37"/>
      <c r="F9" s="37"/>
      <c r="G9" s="25"/>
      <c r="H9" s="37"/>
      <c r="I9" s="37"/>
      <c r="J9" s="25"/>
      <c r="K9" s="37"/>
      <c r="L9" s="37"/>
      <c r="M9" s="25"/>
      <c r="N9" s="37"/>
      <c r="O9" s="37"/>
      <c r="P9" s="25"/>
    </row>
    <row r="10" spans="1:16" ht="62.1" customHeight="1" x14ac:dyDescent="0.2">
      <c r="A10" s="39"/>
      <c r="B10" s="38"/>
      <c r="C10" s="38"/>
      <c r="D10" s="38"/>
      <c r="E10" s="38"/>
      <c r="F10" s="38"/>
      <c r="G10" s="38"/>
      <c r="H10" s="38"/>
      <c r="I10" s="38"/>
      <c r="J10" s="38"/>
      <c r="K10" s="38"/>
      <c r="L10" s="38"/>
      <c r="M10" s="38"/>
      <c r="N10" s="38"/>
      <c r="O10" s="38"/>
      <c r="P10" s="38"/>
    </row>
    <row r="11" spans="1:16" ht="18" customHeight="1" x14ac:dyDescent="0.2">
      <c r="A11" s="39">
        <v>4</v>
      </c>
      <c r="B11" s="37"/>
      <c r="C11" s="37"/>
      <c r="D11" s="25"/>
      <c r="E11" s="37"/>
      <c r="F11" s="37"/>
      <c r="G11" s="25"/>
      <c r="H11" s="37"/>
      <c r="I11" s="37"/>
      <c r="J11" s="25"/>
      <c r="K11" s="37"/>
      <c r="L11" s="37"/>
      <c r="M11" s="25"/>
      <c r="N11" s="37"/>
      <c r="O11" s="37"/>
      <c r="P11" s="25"/>
    </row>
    <row r="12" spans="1:16" ht="62.1" customHeight="1" x14ac:dyDescent="0.2">
      <c r="A12" s="39"/>
      <c r="B12" s="38"/>
      <c r="C12" s="38"/>
      <c r="D12" s="38"/>
      <c r="E12" s="38"/>
      <c r="F12" s="38"/>
      <c r="G12" s="38"/>
      <c r="H12" s="38"/>
      <c r="I12" s="38"/>
      <c r="J12" s="38"/>
      <c r="K12" s="38"/>
      <c r="L12" s="38"/>
      <c r="M12" s="38"/>
      <c r="N12" s="38"/>
      <c r="O12" s="38"/>
      <c r="P12" s="38"/>
    </row>
    <row r="13" spans="1:16" ht="18" customHeight="1" x14ac:dyDescent="0.2">
      <c r="A13" s="39">
        <v>5</v>
      </c>
      <c r="B13" s="37"/>
      <c r="C13" s="37"/>
      <c r="D13" s="25"/>
      <c r="E13" s="37"/>
      <c r="F13" s="37"/>
      <c r="G13" s="25"/>
      <c r="H13" s="37"/>
      <c r="I13" s="37"/>
      <c r="J13" s="25"/>
      <c r="K13" s="37"/>
      <c r="L13" s="37"/>
      <c r="M13" s="25"/>
      <c r="N13" s="37"/>
      <c r="O13" s="37"/>
      <c r="P13" s="25"/>
    </row>
    <row r="14" spans="1:16" ht="62.1" customHeight="1" x14ac:dyDescent="0.2">
      <c r="A14" s="39"/>
      <c r="B14" s="38"/>
      <c r="C14" s="38"/>
      <c r="D14" s="38"/>
      <c r="E14" s="38"/>
      <c r="F14" s="38"/>
      <c r="G14" s="38"/>
      <c r="H14" s="38"/>
      <c r="I14" s="38"/>
      <c r="J14" s="38"/>
      <c r="K14" s="38"/>
      <c r="L14" s="38"/>
      <c r="M14" s="38"/>
      <c r="N14" s="38"/>
      <c r="O14" s="38"/>
      <c r="P14" s="38"/>
    </row>
    <row r="15" spans="1:16" ht="18" customHeight="1" x14ac:dyDescent="0.2">
      <c r="A15" s="39">
        <v>6</v>
      </c>
      <c r="B15" s="37"/>
      <c r="C15" s="37"/>
      <c r="D15" s="25"/>
      <c r="E15" s="37"/>
      <c r="F15" s="37"/>
      <c r="G15" s="25"/>
      <c r="H15" s="37"/>
      <c r="I15" s="37"/>
      <c r="J15" s="25"/>
      <c r="K15" s="37"/>
      <c r="L15" s="37"/>
      <c r="M15" s="25"/>
      <c r="N15" s="37"/>
      <c r="O15" s="37"/>
      <c r="P15" s="25"/>
    </row>
    <row r="16" spans="1:16" ht="62.1" customHeight="1" x14ac:dyDescent="0.2">
      <c r="A16" s="39"/>
      <c r="B16" s="38"/>
      <c r="C16" s="38"/>
      <c r="D16" s="38"/>
      <c r="E16" s="38"/>
      <c r="F16" s="38"/>
      <c r="G16" s="38"/>
      <c r="H16" s="38"/>
      <c r="I16" s="38"/>
      <c r="J16" s="38"/>
      <c r="K16" s="38"/>
      <c r="L16" s="38"/>
      <c r="M16" s="38"/>
      <c r="N16" s="38"/>
      <c r="O16" s="38"/>
      <c r="P16" s="38"/>
    </row>
    <row r="17" spans="1:16" ht="18" customHeight="1" x14ac:dyDescent="0.2">
      <c r="A17" s="39">
        <v>7</v>
      </c>
      <c r="B17" s="37"/>
      <c r="C17" s="37"/>
      <c r="D17" s="25"/>
      <c r="E17" s="37"/>
      <c r="F17" s="37"/>
      <c r="G17" s="25"/>
      <c r="H17" s="37"/>
      <c r="I17" s="37"/>
      <c r="J17" s="25"/>
      <c r="K17" s="37"/>
      <c r="L17" s="37"/>
      <c r="M17" s="25"/>
      <c r="N17" s="37"/>
      <c r="O17" s="37"/>
      <c r="P17" s="25"/>
    </row>
    <row r="18" spans="1:16" ht="62.1" customHeight="1" x14ac:dyDescent="0.2">
      <c r="A18" s="39"/>
      <c r="B18" s="38"/>
      <c r="C18" s="38"/>
      <c r="D18" s="38"/>
      <c r="E18" s="38"/>
      <c r="F18" s="38"/>
      <c r="G18" s="38"/>
      <c r="H18" s="38"/>
      <c r="I18" s="38"/>
      <c r="J18" s="38"/>
      <c r="K18" s="38"/>
      <c r="L18" s="38"/>
      <c r="M18" s="38"/>
      <c r="N18" s="38"/>
      <c r="O18" s="38"/>
      <c r="P18" s="38"/>
    </row>
    <row r="19" spans="1:16" ht="54.9" customHeight="1" x14ac:dyDescent="0.2">
      <c r="A19" s="10" t="s">
        <v>47</v>
      </c>
      <c r="B19" s="34"/>
      <c r="C19" s="34"/>
      <c r="D19" s="34"/>
      <c r="E19" s="34"/>
      <c r="F19" s="34"/>
      <c r="G19" s="34"/>
      <c r="H19" s="34"/>
      <c r="I19" s="34"/>
      <c r="J19" s="34"/>
      <c r="K19" s="34"/>
      <c r="L19" s="34"/>
      <c r="M19" s="34"/>
      <c r="N19" s="34"/>
      <c r="O19" s="34"/>
      <c r="P19" s="34"/>
    </row>
    <row r="20" spans="1:16" hidden="1" x14ac:dyDescent="0.2">
      <c r="A20" s="11"/>
      <c r="B20" s="11"/>
      <c r="C20" s="11"/>
      <c r="D20" s="11"/>
      <c r="E20" s="11"/>
      <c r="F20" s="11"/>
      <c r="G20" s="11"/>
      <c r="H20" s="11"/>
      <c r="I20" s="11"/>
      <c r="J20" s="11"/>
      <c r="K20" s="11"/>
      <c r="L20" s="11"/>
      <c r="M20" s="11"/>
      <c r="N20" s="11"/>
      <c r="O20" s="11"/>
      <c r="P20" s="11"/>
    </row>
    <row r="21" spans="1:16" ht="13.5" customHeight="1" x14ac:dyDescent="0.2">
      <c r="A21" s="12" t="s">
        <v>48</v>
      </c>
      <c r="B21" s="12">
        <f>IF(基本設定!B6="","",基本設定!B6)</f>
      </c>
      <c r="C21" s="12">
        <f>IF(基本設定!B7="","",基本設定!B7)</f>
      </c>
      <c r="D21" s="12">
        <f>IF(基本設定!B8="","",基本設定!B8)</f>
      </c>
      <c r="E21" s="12">
        <f>IF(基本設定!B9="","",基本設定!B9)</f>
      </c>
      <c r="F21" s="12">
        <f>IF(基本設定!B10="","",基本設定!B10)</f>
      </c>
      <c r="G21" s="12">
        <f>IF(基本設定!B11="","",基本設定!B11)</f>
      </c>
      <c r="H21" s="12"/>
      <c r="I21" s="12"/>
      <c r="J21" s="12"/>
      <c r="K21" s="12"/>
      <c r="L21" s="12"/>
      <c r="M21" s="13" t="s">
        <v>53</v>
      </c>
      <c r="N21" s="12" t="s">
        <v>20</v>
      </c>
      <c r="O21" s="12" t="s">
        <v>22</v>
      </c>
      <c r="P21" s="14" t="s">
        <v>49</v>
      </c>
    </row>
    <row r="22" spans="1:16" ht="13.5" customHeight="1" x14ac:dyDescent="0.2">
      <c r="A22" s="15" t="s">
        <v>50</v>
      </c>
      <c r="B22" s="16">
        <f>IF(B21="","",IFERROR(VALUE(VLOOKUP(B21,基本設定!$A$23:$B$35,2,FALSE())),""))</f>
      </c>
      <c r="C22" s="16">
        <f>IF(C21="","",IFERROR(VALUE(VLOOKUP(C21,基本設定!$A$23:$B$35,2,FALSE())),""))</f>
      </c>
      <c r="D22" s="16">
        <f>IF(D21="","",IFERROR(VALUE(VLOOKUP(D21,基本設定!$A$23:$B$35,2,FALSE())),""))</f>
      </c>
      <c r="E22" s="16">
        <f>IF(E21="","",IFERROR(VALUE(VLOOKUP(E21,基本設定!$A$23:$B$35,2,FALSE())),""))</f>
      </c>
      <c r="F22" s="16">
        <f>IF(F21="","",IFERROR(VALUE(VLOOKUP(F21,基本設定!$A$23:$B$35,2,FALSE())),""))</f>
      </c>
      <c r="G22" s="16">
        <f>IF(G21="","",IFERROR(VALUE(VLOOKUP(G21,基本設定!$A$23:$B$35,2,FALSE())),""))</f>
      </c>
      <c r="H22" s="17"/>
      <c r="I22" s="17"/>
      <c r="J22" s="17"/>
      <c r="K22" s="17"/>
      <c r="L22" s="17"/>
      <c r="M22" s="17">
        <v>1</v>
      </c>
      <c r="N22" s="17">
        <f>IF(N21="","",IFERROR(VALUE(VLOOKUP(N21,基本設定!$A$23:$B$35,2,FALSE())),""))</f>
      </c>
      <c r="O22" s="17">
        <f>IF(O21="","",IFERROR(VALUE(VLOOKUP(O21,基本設定!$A$23:$B$35,2,FALSE())),""))</f>
      </c>
      <c r="P22" s="18">
        <f>IF(SUM(B22:O22)=0,"",SUM(B22:O22))</f>
      </c>
    </row>
    <row r="23" spans="1:16" ht="13.5" customHeight="1" x14ac:dyDescent="0.2">
      <c r="A23" s="35" t="s">
        <v>51</v>
      </c>
      <c r="B23" s="19">
        <f>IF(B21="","",IF(B24="","",B24-(SUMPRODUCT((B5:C5=B21)*(D5="×"))+SUMPRODUCT((E5:F5=B21)*(G5="×"))+SUMPRODUCT((H5:I5=B21)*(J5="×"))+SUMPRODUCT((K5:L5=B21)*(M5="×"))+SUMPRODUCT((N5:O5=B21)*(P5="×"))+SUMPRODUCT((B7:C7=B21)*(D7="×"))+SUMPRODUCT((E7:F7=B21)*(G7="×"))+SUMPRODUCT((H7:I7=B21)*(J7="×"))+SUMPRODUCT((K7:L7=B21)*(M7="×"))+SUMPRODUCT((N7:O7=B21)*(P7="×"))+SUMPRODUCT((B9:C9=B21)*(D9="×"))+SUMPRODUCT((E9:F9=B21)*(G9="×"))+SUMPRODUCT((H9:I9=B21)*(J9="×"))+SUMPRODUCT((K9:L9=B21)*(M9="×"))+SUMPRODUCT((N9:O9=B21)*(P9="×"))+SUMPRODUCT((B11:C11=B21)*(D11="×"))+SUMPRODUCT((E11:F11=B21)*(G11="×"))+SUMPRODUCT((H11:I11=B21)*(J11="×"))+SUMPRODUCT((K11:L11=B21)*(M11="×"))+SUMPRODUCT((N11:O11=B21)*(P11="×"))+SUMPRODUCT((B13:C13=B21)*(D13="×"))+SUMPRODUCT((E13:F13=B21)*(G13="×"))+SUMPRODUCT((H13:I13=B21)*(J13="×"))+SUMPRODUCT((K13:L13=B21)*(M13="×"))+SUMPRODUCT((N13:O13=B21)*(P13="×"))+SUMPRODUCT((B15:C15=B21)*(D15="×"))+SUMPRODUCT((E15:F15=B21)*(G15="×"))+SUMPRODUCT((H15:I15=B21)*(J15="×"))+SUMPRODUCT((K15:L15=B21)*(M15="×"))+SUMPRODUCT((N15:O15=B21)*(P15="×"))+SUMPRODUCT((B17:C17=B21)*(D17="×"))+SUMPRODUCT((E17:F17=B21)*(G17="×"))+SUMPRODUCT((H17:I17=B21)*(J17="×"))+SUMPRODUCT((K17:L17=B21)*(M17="×"))+SUMPRODUCT((N17:O17=B21)*(P17="×")))))</f>
        <v/>
      </c>
      <c r="C23" s="19">
        <f>IF(C21="","",IF(C24="","",C24-(SUMPRODUCT((B5:C5=C21)*(D5="×"))+SUMPRODUCT((E5:F5=C21)*(G5="×"))+SUMPRODUCT((H5:I5=C21)*(J5="×"))+SUMPRODUCT((K5:L5=C21)*(M5="×"))+SUMPRODUCT((N5:O5=C21)*(P5="×"))+SUMPRODUCT((B7:C7=C21)*(D7="×"))+SUMPRODUCT((E7:F7=C21)*(G7="×"))+SUMPRODUCT((H7:I7=C21)*(J7="×"))+SUMPRODUCT((K7:L7=C21)*(M7="×"))+SUMPRODUCT((N7:O7=C21)*(P7="×"))+SUMPRODUCT((B9:C9=C21)*(D9="×"))+SUMPRODUCT((E9:F9=C21)*(G9="×"))+SUMPRODUCT((H9:I9=C21)*(J9="×"))+SUMPRODUCT((K9:L9=C21)*(M9="×"))+SUMPRODUCT((N9:O9=C21)*(P9="×"))+SUMPRODUCT((B11:C11=C21)*(D11="×"))+SUMPRODUCT((E11:F11=C21)*(G11="×"))+SUMPRODUCT((H11:I11=C21)*(J11="×"))+SUMPRODUCT((K11:L11=C21)*(M11="×"))+SUMPRODUCT((N11:O11=C21)*(P11="×"))+SUMPRODUCT((B13:C13=C21)*(D13="×"))+SUMPRODUCT((E13:F13=C21)*(G13="×"))+SUMPRODUCT((H13:I13=C21)*(J13="×"))+SUMPRODUCT((K13:L13=C21)*(M13="×"))+SUMPRODUCT((N13:O13=C21)*(P13="×"))+SUMPRODUCT((B15:C15=C21)*(D15="×"))+SUMPRODUCT((E15:F15=C21)*(G15="×"))+SUMPRODUCT((H15:I15=C21)*(J15="×"))+SUMPRODUCT((K15:L15=C21)*(M15="×"))+SUMPRODUCT((N15:O15=C21)*(P15="×"))+SUMPRODUCT((B17:C17=C21)*(D17="×"))+SUMPRODUCT((E17:F17=C21)*(G17="×"))+SUMPRODUCT((H17:I17=C21)*(J17="×"))+SUMPRODUCT((K17:L17=C21)*(M17="×"))+SUMPRODUCT((N17:O17=C21)*(P17="×")))))</f>
        <v/>
      </c>
      <c r="D23" s="19">
        <f>IF(D21="","",IF(D24="","",D24-(SUMPRODUCT((B5:C5=D21)*(D5="×"))+SUMPRODUCT((E5:F5=D21)*(G5="×"))+SUMPRODUCT((H5:I5=D21)*(J5="×"))+SUMPRODUCT((K5:L5=D21)*(M5="×"))+SUMPRODUCT((N5:O5=D21)*(P5="×"))+SUMPRODUCT((B7:C7=D21)*(D7="×"))+SUMPRODUCT((E7:F7=D21)*(G7="×"))+SUMPRODUCT((H7:I7=D21)*(J7="×"))+SUMPRODUCT((K7:L7=D21)*(M7="×"))+SUMPRODUCT((N7:O7=D21)*(P7="×"))+SUMPRODUCT((B9:C9=D21)*(D9="×"))+SUMPRODUCT((E9:F9=D21)*(G9="×"))+SUMPRODUCT((H9:I9=D21)*(J9="×"))+SUMPRODUCT((K9:L9=D21)*(M9="×"))+SUMPRODUCT((N9:O9=D21)*(P9="×"))+SUMPRODUCT((B11:C11=D21)*(D11="×"))+SUMPRODUCT((E11:F11=D21)*(G11="×"))+SUMPRODUCT((H11:I11=D21)*(J11="×"))+SUMPRODUCT((K11:L11=D21)*(M11="×"))+SUMPRODUCT((N11:O11=D21)*(P11="×"))+SUMPRODUCT((B13:C13=D21)*(D13="×"))+SUMPRODUCT((E13:F13=D21)*(G13="×"))+SUMPRODUCT((H13:I13=D21)*(J13="×"))+SUMPRODUCT((K13:L13=D21)*(M13="×"))+SUMPRODUCT((N13:O13=D21)*(P13="×"))+SUMPRODUCT((B15:C15=D21)*(D15="×"))+SUMPRODUCT((E15:F15=D21)*(G15="×"))+SUMPRODUCT((H15:I15=D21)*(J15="×"))+SUMPRODUCT((K15:L15=D21)*(M15="×"))+SUMPRODUCT((N15:O15=D21)*(P15="×"))+SUMPRODUCT((B17:C17=D21)*(D17="×"))+SUMPRODUCT((E17:F17=D21)*(G17="×"))+SUMPRODUCT((H17:I17=D21)*(J17="×"))+SUMPRODUCT((K17:L17=D21)*(M17="×"))+SUMPRODUCT((N17:O17=D21)*(P17="×")))))</f>
        <v/>
      </c>
      <c r="E23" s="19">
        <f>IF(E21="","",IF(E24="","",E24-(SUMPRODUCT((B5:C5=E21)*(D5="×"))+SUMPRODUCT((E5:F5=E21)*(G5="×"))+SUMPRODUCT((H5:I5=E21)*(J5="×"))+SUMPRODUCT((K5:L5=E21)*(M5="×"))+SUMPRODUCT((N5:O5=E21)*(P5="×"))+SUMPRODUCT((B7:C7=E21)*(D7="×"))+SUMPRODUCT((E7:F7=E21)*(G7="×"))+SUMPRODUCT((H7:I7=E21)*(J7="×"))+SUMPRODUCT((K7:L7=E21)*(M7="×"))+SUMPRODUCT((N7:O7=E21)*(P7="×"))+SUMPRODUCT((B9:C9=E21)*(D9="×"))+SUMPRODUCT((E9:F9=E21)*(G9="×"))+SUMPRODUCT((H9:I9=E21)*(J9="×"))+SUMPRODUCT((K9:L9=E21)*(M9="×"))+SUMPRODUCT((N9:O9=E21)*(P9="×"))+SUMPRODUCT((B11:C11=E21)*(D11="×"))+SUMPRODUCT((E11:F11=E21)*(G11="×"))+SUMPRODUCT((H11:I11=E21)*(J11="×"))+SUMPRODUCT((K11:L11=E21)*(M11="×"))+SUMPRODUCT((N11:O11=E21)*(P11="×"))+SUMPRODUCT((B13:C13=E21)*(D13="×"))+SUMPRODUCT((E13:F13=E21)*(G13="×"))+SUMPRODUCT((H13:I13=E21)*(J13="×"))+SUMPRODUCT((K13:L13=E21)*(M13="×"))+SUMPRODUCT((N13:O13=E21)*(P13="×"))+SUMPRODUCT((B15:C15=E21)*(D15="×"))+SUMPRODUCT((E15:F15=E21)*(G15="×"))+SUMPRODUCT((H15:I15=E21)*(J15="×"))+SUMPRODUCT((K15:L15=E21)*(M15="×"))+SUMPRODUCT((N15:O15=E21)*(P15="×"))+SUMPRODUCT((B17:C17=E21)*(D17="×"))+SUMPRODUCT((E17:F17=E21)*(G17="×"))+SUMPRODUCT((H17:I17=E21)*(J17="×"))+SUMPRODUCT((K17:L17=E21)*(M17="×"))+SUMPRODUCT((N17:O17=E21)*(P17="×")))))</f>
        <v/>
      </c>
      <c r="F23" s="19">
        <f>IF(F21="","",IF(F24="","",F24-(SUMPRODUCT((B5:C5=F21)*(D5="×"))+SUMPRODUCT((E5:F5=F21)*(G5="×"))+SUMPRODUCT((H5:I5=F21)*(J5="×"))+SUMPRODUCT((K5:L5=F21)*(M5="×"))+SUMPRODUCT((N5:O5=F21)*(P5="×"))+SUMPRODUCT((B7:C7=F21)*(D7="×"))+SUMPRODUCT((E7:F7=F21)*(G7="×"))+SUMPRODUCT((H7:I7=F21)*(J7="×"))+SUMPRODUCT((K7:L7=F21)*(M7="×"))+SUMPRODUCT((N7:O7=F21)*(P7="×"))+SUMPRODUCT((B9:C9=F21)*(D9="×"))+SUMPRODUCT((E9:F9=F21)*(G9="×"))+SUMPRODUCT((H9:I9=F21)*(J9="×"))+SUMPRODUCT((K9:L9=F21)*(M9="×"))+SUMPRODUCT((N9:O9=F21)*(P9="×"))+SUMPRODUCT((B11:C11=F21)*(D11="×"))+SUMPRODUCT((E11:F11=F21)*(G11="×"))+SUMPRODUCT((H11:I11=F21)*(J11="×"))+SUMPRODUCT((K11:L11=F21)*(M11="×"))+SUMPRODUCT((N11:O11=F21)*(P11="×"))+SUMPRODUCT((B13:C13=F21)*(D13="×"))+SUMPRODUCT((E13:F13=F21)*(G13="×"))+SUMPRODUCT((H13:I13=F21)*(J13="×"))+SUMPRODUCT((K13:L13=F21)*(M13="×"))+SUMPRODUCT((N13:O13=F21)*(P13="×"))+SUMPRODUCT((B15:C15=F21)*(D15="×"))+SUMPRODUCT((E15:F15=F21)*(G15="×"))+SUMPRODUCT((H15:I15=F21)*(J15="×"))+SUMPRODUCT((K15:L15=F21)*(M15="×"))+SUMPRODUCT((N15:O15=F21)*(P15="×"))+SUMPRODUCT((B17:C17=F21)*(D17="×"))+SUMPRODUCT((E17:F17=F21)*(G17="×"))+SUMPRODUCT((H17:I17=F21)*(J17="×"))+SUMPRODUCT((K17:L17=F21)*(M17="×"))+SUMPRODUCT((N17:O17=F21)*(P17="×")))))</f>
        <v/>
      </c>
      <c r="G23" s="19">
        <f>IF(G21="","",IF(G24="","",G24-(SUMPRODUCT((B5:C5=G21)*(D5="×"))+SUMPRODUCT((E5:F5=G21)*(G5="×"))+SUMPRODUCT((H5:I5=G21)*(J5="×"))+SUMPRODUCT((K5:L5=G21)*(M5="×"))+SUMPRODUCT((N5:O5=G21)*(P5="×"))+SUMPRODUCT((B7:C7=G21)*(D7="×"))+SUMPRODUCT((E7:F7=G21)*(G7="×"))+SUMPRODUCT((H7:I7=G21)*(J7="×"))+SUMPRODUCT((K7:L7=G21)*(M7="×"))+SUMPRODUCT((N7:O7=G21)*(P7="×"))+SUMPRODUCT((B9:C9=G21)*(D9="×"))+SUMPRODUCT((E9:F9=G21)*(G9="×"))+SUMPRODUCT((H9:I9=G21)*(J9="×"))+SUMPRODUCT((K9:L9=G21)*(M9="×"))+SUMPRODUCT((N9:O9=G21)*(P9="×"))+SUMPRODUCT((B11:C11=G21)*(D11="×"))+SUMPRODUCT((E11:F11=G21)*(G11="×"))+SUMPRODUCT((H11:I11=G21)*(J11="×"))+SUMPRODUCT((K11:L11=G21)*(M11="×"))+SUMPRODUCT((N11:O11=G21)*(P11="×"))+SUMPRODUCT((B13:C13=G21)*(D13="×"))+SUMPRODUCT((E13:F13=G21)*(G13="×"))+SUMPRODUCT((H13:I13=G21)*(J13="×"))+SUMPRODUCT((K13:L13=G21)*(M13="×"))+SUMPRODUCT((N13:O13=G21)*(P13="×"))+SUMPRODUCT((B15:C15=G21)*(D15="×"))+SUMPRODUCT((E15:F15=G21)*(G15="×"))+SUMPRODUCT((H15:I15=G21)*(J15="×"))+SUMPRODUCT((K15:L15=G21)*(M15="×"))+SUMPRODUCT((N15:O15=G21)*(P15="×"))+SUMPRODUCT((B17:C17=G21)*(D17="×"))+SUMPRODUCT((E17:F17=G21)*(G17="×"))+SUMPRODUCT((H17:I17=G21)*(J17="×"))+SUMPRODUCT((K17:L17=G21)*(M17="×"))+SUMPRODUCT((N17:O17=G21)*(P17="×")))))</f>
        <v/>
      </c>
      <c r="H23" s="19"/>
      <c r="I23" s="19"/>
      <c r="J23" s="19"/>
      <c r="K23" s="19"/>
      <c r="L23" s="19"/>
      <c r="M23" s="19">
        <f>IF(M24="","",M24-(SUMPRODUCT((B5:C5="特活")*(D5="×"))+SUMPRODUCT((B5:C5="学活")*(D5="×"))+SUMPRODUCT((E5:F5="特活")*(G5="×"))+SUMPRODUCT((E5:F5="学活")*(G5="×"))+SUMPRODUCT((H5:I5="特活")*(J5="×"))+SUMPRODUCT((H5:I5="学活")*(J5="×"))+SUMPRODUCT((K5:L5="特活")*(M5="×"))+SUMPRODUCT((K5:L5="学活")*(M5="×"))+SUMPRODUCT((N5:O5="特活")*(P5="×"))+SUMPRODUCT((N5:O5="学活")*(P5="×"))+SUMPRODUCT((B7:C7="特活")*(D7="×"))+SUMPRODUCT((B7:C7="学活")*(D7="×"))+SUMPRODUCT((E7:F7="特活")*(G7="×"))+SUMPRODUCT((E7:F7="学活")*(G7="×"))+SUMPRODUCT((H7:I7="特活")*(J7="×"))+SUMPRODUCT((H7:I7="学活")*(J7="×"))+SUMPRODUCT((K7:L7="特活")*(M7="×"))+SUMPRODUCT((K7:L7="学活")*(M7="×"))+SUMPRODUCT((N7:O7="特活")*(P7="×"))+SUMPRODUCT((N7:O7="学活")*(P7="×"))+SUMPRODUCT((B9:C9="特活")*(D9="×"))+SUMPRODUCT((B9:C9="学活")*(D9="×"))+SUMPRODUCT((E9:F9="特活")*(G9="×"))+SUMPRODUCT((E9:F9="学活")*(G9="×"))+SUMPRODUCT((H9:I9="特活")*(J9="×"))+SUMPRODUCT((H9:I9="学活")*(J9="×"))+SUMPRODUCT((K9:L9="特活")*(M9="×"))+SUMPRODUCT((K9:L9="学活")*(M9="×"))+SUMPRODUCT((N9:O9="特活")*(P9="×"))+SUMPRODUCT((N9:O9="学活")*(P9="×"))+SUMPRODUCT((B11:C11="特活")*(D11="×"))+SUMPRODUCT((B11:C11="学活")*(D11="×"))+SUMPRODUCT((E11:F11="特活")*(G11="×"))+SUMPRODUCT((E11:F11="学活")*(G11="×"))+SUMPRODUCT((H11:I11="特活")*(J11="×"))+SUMPRODUCT((H11:I11="学活")*(J11="×"))+SUMPRODUCT((K11:L11="特活")*(M11="×"))+SUMPRODUCT((K11:L11="学活")*(M11="×"))+SUMPRODUCT((N11:O11="特活")*(P11="×"))+SUMPRODUCT((N11:O11="学活")*(P11="×"))+SUMPRODUCT((B13:C13="特活")*(D13="×"))+SUMPRODUCT((B13:C13="学活")*(D13="×"))+SUMPRODUCT((E13:F13="特活")*(G13="×"))+SUMPRODUCT((E13:F13="学活")*(G13="×"))+SUMPRODUCT((H13:I13="特活")*(J13="×"))+SUMPRODUCT((H13:I13="学活")*(J13="×"))+SUMPRODUCT((K13:L13="特活")*(M13="×"))+SUMPRODUCT((K13:L13="学活")*(M13="×"))+SUMPRODUCT((N13:O13="特活")*(P13="×"))+SUMPRODUCT((N13:O13="学活")*(P13="×"))+SUMPRODUCT((B15:C15="特活")*(D15="×"))+SUMPRODUCT((B15:C15="学活")*(D15="×"))+SUMPRODUCT((E15:F15="特活")*(G15="×"))+SUMPRODUCT((E15:F15="学活")*(G15="×"))+SUMPRODUCT((H15:I15="特活")*(J15="×"))+SUMPRODUCT((H15:I15="学活")*(J15="×"))+SUMPRODUCT((K15:L15="特活")*(M15="×"))+SUMPRODUCT((K15:L15="学活")*(M15="×"))+SUMPRODUCT((N15:O15="特活")*(P15="×"))+SUMPRODUCT((N15:O15="学活")*(P15="×"))+SUMPRODUCT((B17:C17="特活")*(D17="×"))+SUMPRODUCT((B17:C17="学活")*(D17="×"))+SUMPRODUCT((E17:F17="特活")*(G17="×"))+SUMPRODUCT((E17:F17="学活")*(G17="×"))+SUMPRODUCT((H17:I17="特活")*(J17="×"))+SUMPRODUCT((H17:I17="学活")*(J17="×"))+SUMPRODUCT((K17:L17="特活")*(M17="×"))+SUMPRODUCT((K17:L17="学活")*(M17="×"))+SUMPRODUCT((N17:O17="特活")*(P17="×"))+SUMPRODUCT((N17:O17="学活")*(P17="×"))))</f>
        <v/>
      </c>
      <c r="N23" s="19">
        <f>IF(N24="","",N24-(SUMPRODUCT((B5:C5=N21)*(D5="×"))+SUMPRODUCT((E5:F5=N21)*(G5="×"))+SUMPRODUCT((H5:I5=N21)*(J5="×"))+SUMPRODUCT((K5:L5=N21)*(M5="×"))+SUMPRODUCT((N5:O5=N21)*(P5="×"))+SUMPRODUCT((B7:C7=N21)*(D7="×"))+SUMPRODUCT((E7:F7=N21)*(G7="×"))+SUMPRODUCT((H7:I7=N21)*(J7="×"))+SUMPRODUCT((K7:L7=N21)*(M7="×"))+SUMPRODUCT((N7:O7=N21)*(P7="×"))+SUMPRODUCT((B9:C9=N21)*(D9="×"))+SUMPRODUCT((E9:F9=N21)*(G9="×"))+SUMPRODUCT((H9:I9=N21)*(J9="×"))+SUMPRODUCT((K9:L9=N21)*(M9="×"))+SUMPRODUCT((N9:O9=N21)*(P9="×"))+SUMPRODUCT((B11:C11=N21)*(D11="×"))+SUMPRODUCT((E11:F11=N21)*(G11="×"))+SUMPRODUCT((H11:I11=N21)*(J11="×"))+SUMPRODUCT((K11:L11=N21)*(M11="×"))+SUMPRODUCT((N11:O11=N21)*(P11="×"))+SUMPRODUCT((B13:C13=N21)*(D13="×"))+SUMPRODUCT((E13:F13=N21)*(G13="×"))+SUMPRODUCT((H13:I13=N21)*(J13="×"))+SUMPRODUCT((K13:L13=N21)*(M13="×"))+SUMPRODUCT((N13:O13=N21)*(P13="×"))+SUMPRODUCT((B15:C15=N21)*(D15="×"))+SUMPRODUCT((E15:F15=N21)*(G15="×"))+SUMPRODUCT((H15:I15=N21)*(J15="×"))+SUMPRODUCT((K15:L15=N21)*(M15="×"))+SUMPRODUCT((N15:O15=N21)*(P15="×"))+SUMPRODUCT((B17:C17=N21)*(D17="×"))+SUMPRODUCT((E17:F17=N21)*(G17="×"))+SUMPRODUCT((H17:I17=N21)*(J17="×"))+SUMPRODUCT((K17:L17=N21)*(M17="×"))+SUMPRODUCT((N17:O17=N21)*(P17="×"))))</f>
        <v/>
      </c>
      <c r="O23" s="19">
        <f>IF(O24="","",O24-(SUMPRODUCT((B5:C5=O21)*(D5="×"))+SUMPRODUCT((E5:F5=O21)*(G5="×"))+SUMPRODUCT((H5:I5=O21)*(J5="×"))+SUMPRODUCT((K5:L5=O21)*(M5="×"))+SUMPRODUCT((N5:O5=O21)*(P5="×"))+SUMPRODUCT((B7:C7=O21)*(D7="×"))+SUMPRODUCT((E7:F7=O21)*(G7="×"))+SUMPRODUCT((H7:I7=O21)*(J7="×"))+SUMPRODUCT((K7:L7=O21)*(M7="×"))+SUMPRODUCT((N7:O7=O21)*(P7="×"))+SUMPRODUCT((B9:C9=O21)*(D9="×"))+SUMPRODUCT((E9:F9=O21)*(G9="×"))+SUMPRODUCT((H9:I9=O21)*(J9="×"))+SUMPRODUCT((K9:L9=O21)*(M9="×"))+SUMPRODUCT((N9:O9=O21)*(P9="×"))+SUMPRODUCT((B11:C11=O21)*(D11="×"))+SUMPRODUCT((E11:F11=O21)*(G11="×"))+SUMPRODUCT((H11:I11=O21)*(J11="×"))+SUMPRODUCT((K11:L11=O21)*(M11="×"))+SUMPRODUCT((N11:O11=O21)*(P11="×"))+SUMPRODUCT((B13:C13=O21)*(D13="×"))+SUMPRODUCT((E13:F13=O21)*(G13="×"))+SUMPRODUCT((H13:I13=O21)*(J13="×"))+SUMPRODUCT((K13:L13=O21)*(M13="×"))+SUMPRODUCT((N13:O13=O21)*(P13="×"))+SUMPRODUCT((B15:C15=O21)*(D15="×"))+SUMPRODUCT((E15:F15=O21)*(G15="×"))+SUMPRODUCT((H15:I15=O21)*(J15="×"))+SUMPRODUCT((K15:L15=O21)*(M15="×"))+SUMPRODUCT((N15:O15=O21)*(P15="×"))+SUMPRODUCT((B17:C17=O21)*(D17="×"))+SUMPRODUCT((E17:F17=O21)*(G17="×"))+SUMPRODUCT((H17:I17=O21)*(J17="×"))+SUMPRODUCT((K17:L17=O21)*(M17="×"))+SUMPRODUCT((N17:O17=O21)*(P17="×"))))</f>
        <v/>
      </c>
      <c r="P23" s="20">
        <f>IF(SUM(B23:O23)=0,"",SUM(B23:O23))</f>
        <v/>
      </c>
    </row>
    <row r="24" spans="1:16" ht="13.5" customHeight="1" x14ac:dyDescent="0.2">
      <c r="A24" s="36"/>
      <c r="B24" s="21">
        <f>IF(B21="","",IF(COUNTIF(B5:C5,B21)+COUNTIF(B5:C5,"*,"&amp;B21&amp;",*")+COUNTIF(E5:F5,B21)+COUNTIF(E5:F5,"*,"&amp;B21&amp;",*")+COUNTIF(H5:I5,B21)+COUNTIF(H5:I5,"*,"&amp;B21&amp;",*")+COUNTIF(K5:L5,B21)+COUNTIF(K5:L5,"*,"&amp;B21&amp;",*")+COUNTIF(N5:O5,B21)+COUNTIF(N5:O5,"*,"&amp;B21&amp;",*")+COUNTIF(B7:C7,B21)+COUNTIF(B7:C7,"*,"&amp;B21&amp;",*")+COUNTIF(E7:F7,B21)+COUNTIF(E7:F7,"*,"&amp;B21&amp;",*")+COUNTIF(H7:I7,B21)+COUNTIF(H7:I7,"*,"&amp;B21&amp;",*")+COUNTIF(K7:L7,B21)+COUNTIF(K7:L7,"*,"&amp;B21&amp;",*")+COUNTIF(N7:O7,B21)+COUNTIF(N7:O7,"*,"&amp;B21&amp;",*")+COUNTIF(B9:C9,B21)+COUNTIF(B9:C9,"*,"&amp;B21&amp;",*")+COUNTIF(E9:F9,B21)+COUNTIF(E9:F9,"*,"&amp;B21&amp;",*")+COUNTIF(H9:I9,B21)+COUNTIF(H9:I9,"*,"&amp;B21&amp;",*")+COUNTIF(K9:L9,B21)+COUNTIF(K9:L9,"*,"&amp;B21&amp;",*")+COUNTIF(N9:O9,B21)+COUNTIF(N9:O9,"*,"&amp;B21&amp;",*")+COUNTIF(B11:C11,B21)+COUNTIF(B11:C11,"*,"&amp;B21&amp;",*")+COUNTIF(E11:F11,B21)+COUNTIF(E11:F11,"*,"&amp;B21&amp;",*")+COUNTIF(H11:I11,B21)+COUNTIF(H11:I11,"*,"&amp;B21&amp;",*")+COUNTIF(K11:L11,B21)+COUNTIF(K11:L11,"*,"&amp;B21&amp;",*")+COUNTIF(N11:O11,B21)+COUNTIF(N11:O11,"*,"&amp;B21&amp;",*")+COUNTIF(B13:C13,B21)+COUNTIF(B13:C13,"*,"&amp;B21&amp;",*")+COUNTIF(E13:F13,B21)+COUNTIF(E13:F13,"*,"&amp;B21&amp;",*")+COUNTIF(H13:I13,B21)+COUNTIF(H13:I13,"*,"&amp;B21&amp;",*")+COUNTIF(K13:L13,B21)+COUNTIF(K13:L13,"*,"&amp;B21&amp;",*")+COUNTIF(N13:O13,B21)+COUNTIF(N13:O13,"*,"&amp;B21&amp;",*")+COUNTIF(B15:C15,B21)+COUNTIF(B15:C15,"*,"&amp;B21&amp;",*")+COUNTIF(E15:F15,B21)+COUNTIF(E15:F15,"*,"&amp;B21&amp;",*")+COUNTIF(H15:I15,B21)+COUNTIF(H15:I15,"*,"&amp;B21&amp;",*")+COUNTIF(K15:L15,B21)+COUNTIF(K15:L15,"*,"&amp;B21&amp;",*")+COUNTIF(N15:O15,B21)+COUNTIF(N15:O15,"*,"&amp;B21&amp;",*")+COUNTIF(B17:C17,B21)+COUNTIF(B17:C17,"*,"&amp;B21&amp;",*")+COUNTIF(E17:F17,B21)+COUNTIF(E17:F17,"*,"&amp;B21&amp;",*")+COUNTIF(H17:I17,B21)+COUNTIF(H17:I17,"*,"&amp;B21&amp;",*")+COUNTIF(K17:L17,B21)+COUNTIF(K17:L17,"*,"&amp;B21&amp;",*")+COUNTIF(N17:O17,B21)+COUNTIF(N17:O17,"*,"&amp;B21&amp;",*")=0,"",COUNTIF(B5:C5,B21)+COUNTIF(B5:C5,"*,"&amp;B21&amp;",*")+COUNTIF(E5:F5,B21)+COUNTIF(E5:F5,"*,"&amp;B21&amp;",*")+COUNTIF(H5:I5,B21)+COUNTIF(H5:I5,"*,"&amp;B21&amp;",*")+COUNTIF(K5:L5,B21)+COUNTIF(K5:L5,"*,"&amp;B21&amp;",*")+COUNTIF(N5:O5,B21)+COUNTIF(N5:O5,"*,"&amp;B21&amp;",*")+COUNTIF(B7:C7,B21)+COUNTIF(B7:C7,"*,"&amp;B21&amp;",*")+COUNTIF(E7:F7,B21)+COUNTIF(E7:F7,"*,"&amp;B21&amp;",*")+COUNTIF(H7:I7,B21)+COUNTIF(H7:I7,"*,"&amp;B21&amp;",*")+COUNTIF(K7:L7,B21)+COUNTIF(K7:L7,"*,"&amp;B21&amp;",*")+COUNTIF(N7:O7,B21)+COUNTIF(N7:O7,"*,"&amp;B21&amp;",*")+COUNTIF(B9:C9,B21)+COUNTIF(B9:C9,"*,"&amp;B21&amp;",*")+COUNTIF(E9:F9,B21)+COUNTIF(E9:F9,"*,"&amp;B21&amp;",*")+COUNTIF(H9:I9,B21)+COUNTIF(H9:I9,"*,"&amp;B21&amp;",*")+COUNTIF(K9:L9,B21)+COUNTIF(K9:L9,"*,"&amp;B21&amp;",*")+COUNTIF(N9:O9,B21)+COUNTIF(N9:O9,"*,"&amp;B21&amp;",*")+COUNTIF(B11:C11,B21)+COUNTIF(B11:C11,"*,"&amp;B21&amp;",*")+COUNTIF(E11:F11,B21)+COUNTIF(E11:F11,"*,"&amp;B21&amp;",*")+COUNTIF(H11:I11,B21)+COUNTIF(H11:I11,"*,"&amp;B21&amp;",*")+COUNTIF(K11:L11,B21)+COUNTIF(K11:L11,"*,"&amp;B21&amp;",*")+COUNTIF(N11:O11,B21)+COUNTIF(N11:O11,"*,"&amp;B21&amp;",*")+COUNTIF(B13:C13,B21)+COUNTIF(B13:C13,"*,"&amp;B21&amp;",*")+COUNTIF(E13:F13,B21)+COUNTIF(E13:F13,"*,"&amp;B21&amp;",*")+COUNTIF(H13:I13,B21)+COUNTIF(H13:I13,"*,"&amp;B21&amp;",*")+COUNTIF(K13:L13,B21)+COUNTIF(K13:L13,"*,"&amp;B21&amp;",*")+COUNTIF(N13:O13,B21)+COUNTIF(N13:O13,"*,"&amp;B21&amp;",*")+COUNTIF(B15:C15,B21)+COUNTIF(B15:C15,"*,"&amp;B21&amp;",*")+COUNTIF(E15:F15,B21)+COUNTIF(E15:F15,"*,"&amp;B21&amp;",*")+COUNTIF(H15:I15,B21)+COUNTIF(H15:I15,"*,"&amp;B21&amp;",*")+COUNTIF(K15:L15,B21)+COUNTIF(K15:L15,"*,"&amp;B21&amp;",*")+COUNTIF(N15:O15,B21)+COUNTIF(N15:O15,"*,"&amp;B21&amp;",*")+COUNTIF(B17:C17,B21)+COUNTIF(B17:C17,"*,"&amp;B21&amp;",*")+COUNTIF(E17:F17,B21)+COUNTIF(E17:F17,"*,"&amp;B21&amp;",*")+COUNTIF(H17:I17,B21)+COUNTIF(H17:I17,"*,"&amp;B21&amp;",*")+COUNTIF(K17:L17,B21)+COUNTIF(K17:L17,"*,"&amp;B21&amp;",*")+COUNTIF(N17:O17,B21)+COUNTIF(N17:O17,"*,"&amp;B21&amp;",*")))</f>
        <v/>
      </c>
      <c r="C24" s="21">
        <f>IF(C21="","",IF(COUNTIF(B5:C5,C21)+COUNTIF(B5:C5,"*,"&amp;C21&amp;",*")+COUNTIF(E5:F5,C21)+COUNTIF(E5:F5,"*,"&amp;C21&amp;",*")+COUNTIF(H5:I5,C21)+COUNTIF(H5:I5,"*,"&amp;C21&amp;",*")+COUNTIF(K5:L5,C21)+COUNTIF(K5:L5,"*,"&amp;C21&amp;",*")+COUNTIF(N5:O5,C21)+COUNTIF(N5:O5,"*,"&amp;C21&amp;",*")+COUNTIF(B7:C7,C21)+COUNTIF(B7:C7,"*,"&amp;C21&amp;",*")+COUNTIF(E7:F7,C21)+COUNTIF(E7:F7,"*,"&amp;C21&amp;",*")+COUNTIF(H7:I7,C21)+COUNTIF(H7:I7,"*,"&amp;C21&amp;",*")+COUNTIF(K7:L7,C21)+COUNTIF(K7:L7,"*,"&amp;C21&amp;",*")+COUNTIF(N7:O7,C21)+COUNTIF(N7:O7,"*,"&amp;C21&amp;",*")+COUNTIF(B9:C9,C21)+COUNTIF(B9:C9,"*,"&amp;C21&amp;",*")+COUNTIF(E9:F9,C21)+COUNTIF(E9:F9,"*,"&amp;C21&amp;",*")+COUNTIF(H9:I9,C21)+COUNTIF(H9:I9,"*,"&amp;C21&amp;",*")+COUNTIF(K9:L9,C21)+COUNTIF(K9:L9,"*,"&amp;C21&amp;",*")+COUNTIF(N9:O9,C21)+COUNTIF(N9:O9,"*,"&amp;C21&amp;",*")+COUNTIF(B11:C11,C21)+COUNTIF(B11:C11,"*,"&amp;C21&amp;",*")+COUNTIF(E11:F11,C21)+COUNTIF(E11:F11,"*,"&amp;C21&amp;",*")+COUNTIF(H11:I11,C21)+COUNTIF(H11:I11,"*,"&amp;C21&amp;",*")+COUNTIF(K11:L11,C21)+COUNTIF(K11:L11,"*,"&amp;C21&amp;",*")+COUNTIF(N11:O11,C21)+COUNTIF(N11:O11,"*,"&amp;C21&amp;",*")+COUNTIF(B13:C13,C21)+COUNTIF(B13:C13,"*,"&amp;C21&amp;",*")+COUNTIF(E13:F13,C21)+COUNTIF(E13:F13,"*,"&amp;C21&amp;",*")+COUNTIF(H13:I13,C21)+COUNTIF(H13:I13,"*,"&amp;C21&amp;",*")+COUNTIF(K13:L13,C21)+COUNTIF(K13:L13,"*,"&amp;C21&amp;",*")+COUNTIF(N13:O13,C21)+COUNTIF(N13:O13,"*,"&amp;C21&amp;",*")+COUNTIF(B15:C15,C21)+COUNTIF(B15:C15,"*,"&amp;C21&amp;",*")+COUNTIF(E15:F15,C21)+COUNTIF(E15:F15,"*,"&amp;C21&amp;",*")+COUNTIF(H15:I15,C21)+COUNTIF(H15:I15,"*,"&amp;C21&amp;",*")+COUNTIF(K15:L15,C21)+COUNTIF(K15:L15,"*,"&amp;C21&amp;",*")+COUNTIF(N15:O15,C21)+COUNTIF(N15:O15,"*,"&amp;C21&amp;",*")+COUNTIF(B17:C17,C21)+COUNTIF(B17:C17,"*,"&amp;C21&amp;",*")+COUNTIF(E17:F17,C21)+COUNTIF(E17:F17,"*,"&amp;C21&amp;",*")+COUNTIF(H17:I17,C21)+COUNTIF(H17:I17,"*,"&amp;C21&amp;",*")+COUNTIF(K17:L17,C21)+COUNTIF(K17:L17,"*,"&amp;C21&amp;",*")+COUNTIF(N17:O17,C21)+COUNTIF(N17:O17,"*,"&amp;C21&amp;",*")=0,"",COUNTIF(B5:C5,C21)+COUNTIF(B5:C5,"*,"&amp;C21&amp;",*")+COUNTIF(E5:F5,C21)+COUNTIF(E5:F5,"*,"&amp;C21&amp;",*")+COUNTIF(H5:I5,C21)+COUNTIF(H5:I5,"*,"&amp;C21&amp;",*")+COUNTIF(K5:L5,C21)+COUNTIF(K5:L5,"*,"&amp;C21&amp;",*")+COUNTIF(N5:O5,C21)+COUNTIF(N5:O5,"*,"&amp;C21&amp;",*")+COUNTIF(B7:C7,C21)+COUNTIF(B7:C7,"*,"&amp;C21&amp;",*")+COUNTIF(E7:F7,C21)+COUNTIF(E7:F7,"*,"&amp;C21&amp;",*")+COUNTIF(H7:I7,C21)+COUNTIF(H7:I7,"*,"&amp;C21&amp;",*")+COUNTIF(K7:L7,C21)+COUNTIF(K7:L7,"*,"&amp;C21&amp;",*")+COUNTIF(N7:O7,C21)+COUNTIF(N7:O7,"*,"&amp;C21&amp;",*")+COUNTIF(B9:C9,C21)+COUNTIF(B9:C9,"*,"&amp;C21&amp;",*")+COUNTIF(E9:F9,C21)+COUNTIF(E9:F9,"*,"&amp;C21&amp;",*")+COUNTIF(H9:I9,C21)+COUNTIF(H9:I9,"*,"&amp;C21&amp;",*")+COUNTIF(K9:L9,C21)+COUNTIF(K9:L9,"*,"&amp;C21&amp;",*")+COUNTIF(N9:O9,C21)+COUNTIF(N9:O9,"*,"&amp;C21&amp;",*")+COUNTIF(B11:C11,C21)+COUNTIF(B11:C11,"*,"&amp;C21&amp;",*")+COUNTIF(E11:F11,C21)+COUNTIF(E11:F11,"*,"&amp;C21&amp;",*")+COUNTIF(H11:I11,C21)+COUNTIF(H11:I11,"*,"&amp;C21&amp;",*")+COUNTIF(K11:L11,C21)+COUNTIF(K11:L11,"*,"&amp;C21&amp;",*")+COUNTIF(N11:O11,C21)+COUNTIF(N11:O11,"*,"&amp;C21&amp;",*")+COUNTIF(B13:C13,C21)+COUNTIF(B13:C13,"*,"&amp;C21&amp;",*")+COUNTIF(E13:F13,C21)+COUNTIF(E13:F13,"*,"&amp;C21&amp;",*")+COUNTIF(H13:I13,C21)+COUNTIF(H13:I13,"*,"&amp;C21&amp;",*")+COUNTIF(K13:L13,C21)+COUNTIF(K13:L13,"*,"&amp;C21&amp;",*")+COUNTIF(N13:O13,C21)+COUNTIF(N13:O13,"*,"&amp;C21&amp;",*")+COUNTIF(B15:C15,C21)+COUNTIF(B15:C15,"*,"&amp;C21&amp;",*")+COUNTIF(E15:F15,C21)+COUNTIF(E15:F15,"*,"&amp;C21&amp;",*")+COUNTIF(H15:I15,C21)+COUNTIF(H15:I15,"*,"&amp;C21&amp;",*")+COUNTIF(K15:L15,C21)+COUNTIF(K15:L15,"*,"&amp;C21&amp;",*")+COUNTIF(N15:O15,C21)+COUNTIF(N15:O15,"*,"&amp;C21&amp;",*")+COUNTIF(B17:C17,C21)+COUNTIF(B17:C17,"*,"&amp;C21&amp;",*")+COUNTIF(E17:F17,C21)+COUNTIF(E17:F17,"*,"&amp;C21&amp;",*")+COUNTIF(H17:I17,C21)+COUNTIF(H17:I17,"*,"&amp;C21&amp;",*")+COUNTIF(K17:L17,C21)+COUNTIF(K17:L17,"*,"&amp;C21&amp;",*")+COUNTIF(N17:O17,C21)+COUNTIF(N17:O17,"*,"&amp;C21&amp;",*")))</f>
        <v/>
      </c>
      <c r="D24" s="21">
        <f>IF(D21="","",IF(COUNTIF(B5:C5,D21)+COUNTIF(B5:C5,"*,"&amp;D21&amp;",*")+COUNTIF(E5:F5,D21)+COUNTIF(E5:F5,"*,"&amp;D21&amp;",*")+COUNTIF(H5:I5,D21)+COUNTIF(H5:I5,"*,"&amp;D21&amp;",*")+COUNTIF(K5:L5,D21)+COUNTIF(K5:L5,"*,"&amp;D21&amp;",*")+COUNTIF(N5:O5,D21)+COUNTIF(N5:O5,"*,"&amp;D21&amp;",*")+COUNTIF(B7:C7,D21)+COUNTIF(B7:C7,"*,"&amp;D21&amp;",*")+COUNTIF(E7:F7,D21)+COUNTIF(E7:F7,"*,"&amp;D21&amp;",*")+COUNTIF(H7:I7,D21)+COUNTIF(H7:I7,"*,"&amp;D21&amp;",*")+COUNTIF(K7:L7,D21)+COUNTIF(K7:L7,"*,"&amp;D21&amp;",*")+COUNTIF(N7:O7,D21)+COUNTIF(N7:O7,"*,"&amp;D21&amp;",*")+COUNTIF(B9:C9,D21)+COUNTIF(B9:C9,"*,"&amp;D21&amp;",*")+COUNTIF(E9:F9,D21)+COUNTIF(E9:F9,"*,"&amp;D21&amp;",*")+COUNTIF(H9:I9,D21)+COUNTIF(H9:I9,"*,"&amp;D21&amp;",*")+COUNTIF(K9:L9,D21)+COUNTIF(K9:L9,"*,"&amp;D21&amp;",*")+COUNTIF(N9:O9,D21)+COUNTIF(N9:O9,"*,"&amp;D21&amp;",*")+COUNTIF(B11:C11,D21)+COUNTIF(B11:C11,"*,"&amp;D21&amp;",*")+COUNTIF(E11:F11,D21)+COUNTIF(E11:F11,"*,"&amp;D21&amp;",*")+COUNTIF(H11:I11,D21)+COUNTIF(H11:I11,"*,"&amp;D21&amp;",*")+COUNTIF(K11:L11,D21)+COUNTIF(K11:L11,"*,"&amp;D21&amp;",*")+COUNTIF(N11:O11,D21)+COUNTIF(N11:O11,"*,"&amp;D21&amp;",*")+COUNTIF(B13:C13,D21)+COUNTIF(B13:C13,"*,"&amp;D21&amp;",*")+COUNTIF(E13:F13,D21)+COUNTIF(E13:F13,"*,"&amp;D21&amp;",*")+COUNTIF(H13:I13,D21)+COUNTIF(H13:I13,"*,"&amp;D21&amp;",*")+COUNTIF(K13:L13,D21)+COUNTIF(K13:L13,"*,"&amp;D21&amp;",*")+COUNTIF(N13:O13,D21)+COUNTIF(N13:O13,"*,"&amp;D21&amp;",*")+COUNTIF(B15:C15,D21)+COUNTIF(B15:C15,"*,"&amp;D21&amp;",*")+COUNTIF(E15:F15,D21)+COUNTIF(E15:F15,"*,"&amp;D21&amp;",*")+COUNTIF(H15:I15,D21)+COUNTIF(H15:I15,"*,"&amp;D21&amp;",*")+COUNTIF(K15:L15,D21)+COUNTIF(K15:L15,"*,"&amp;D21&amp;",*")+COUNTIF(N15:O15,D21)+COUNTIF(N15:O15,"*,"&amp;D21&amp;",*")+COUNTIF(B17:C17,D21)+COUNTIF(B17:C17,"*,"&amp;D21&amp;",*")+COUNTIF(E17:F17,D21)+COUNTIF(E17:F17,"*,"&amp;D21&amp;",*")+COUNTIF(H17:I17,D21)+COUNTIF(H17:I17,"*,"&amp;D21&amp;",*")+COUNTIF(K17:L17,D21)+COUNTIF(K17:L17,"*,"&amp;D21&amp;",*")+COUNTIF(N17:O17,D21)+COUNTIF(N17:O17,"*,"&amp;D21&amp;",*")=0,"",COUNTIF(B5:C5,D21)+COUNTIF(B5:C5,"*,"&amp;D21&amp;",*")+COUNTIF(E5:F5,D21)+COUNTIF(E5:F5,"*,"&amp;D21&amp;",*")+COUNTIF(H5:I5,D21)+COUNTIF(H5:I5,"*,"&amp;D21&amp;",*")+COUNTIF(K5:L5,D21)+COUNTIF(K5:L5,"*,"&amp;D21&amp;",*")+COUNTIF(N5:O5,D21)+COUNTIF(N5:O5,"*,"&amp;D21&amp;",*")+COUNTIF(B7:C7,D21)+COUNTIF(B7:C7,"*,"&amp;D21&amp;",*")+COUNTIF(E7:F7,D21)+COUNTIF(E7:F7,"*,"&amp;D21&amp;",*")+COUNTIF(H7:I7,D21)+COUNTIF(H7:I7,"*,"&amp;D21&amp;",*")+COUNTIF(K7:L7,D21)+COUNTIF(K7:L7,"*,"&amp;D21&amp;",*")+COUNTIF(N7:O7,D21)+COUNTIF(N7:O7,"*,"&amp;D21&amp;",*")+COUNTIF(B9:C9,D21)+COUNTIF(B9:C9,"*,"&amp;D21&amp;",*")+COUNTIF(E9:F9,D21)+COUNTIF(E9:F9,"*,"&amp;D21&amp;",*")+COUNTIF(H9:I9,D21)+COUNTIF(H9:I9,"*,"&amp;D21&amp;",*")+COUNTIF(K9:L9,D21)+COUNTIF(K9:L9,"*,"&amp;D21&amp;",*")+COUNTIF(N9:O9,D21)+COUNTIF(N9:O9,"*,"&amp;D21&amp;",*")+COUNTIF(B11:C11,D21)+COUNTIF(B11:C11,"*,"&amp;D21&amp;",*")+COUNTIF(E11:F11,D21)+COUNTIF(E11:F11,"*,"&amp;D21&amp;",*")+COUNTIF(H11:I11,D21)+COUNTIF(H11:I11,"*,"&amp;D21&amp;",*")+COUNTIF(K11:L11,D21)+COUNTIF(K11:L11,"*,"&amp;D21&amp;",*")+COUNTIF(N11:O11,D21)+COUNTIF(N11:O11,"*,"&amp;D21&amp;",*")+COUNTIF(B13:C13,D21)+COUNTIF(B13:C13,"*,"&amp;D21&amp;",*")+COUNTIF(E13:F13,D21)+COUNTIF(E13:F13,"*,"&amp;D21&amp;",*")+COUNTIF(H13:I13,D21)+COUNTIF(H13:I13,"*,"&amp;D21&amp;",*")+COUNTIF(K13:L13,D21)+COUNTIF(K13:L13,"*,"&amp;D21&amp;",*")+COUNTIF(N13:O13,D21)+COUNTIF(N13:O13,"*,"&amp;D21&amp;",*")+COUNTIF(B15:C15,D21)+COUNTIF(B15:C15,"*,"&amp;D21&amp;",*")+COUNTIF(E15:F15,D21)+COUNTIF(E15:F15,"*,"&amp;D21&amp;",*")+COUNTIF(H15:I15,D21)+COUNTIF(H15:I15,"*,"&amp;D21&amp;",*")+COUNTIF(K15:L15,D21)+COUNTIF(K15:L15,"*,"&amp;D21&amp;",*")+COUNTIF(N15:O15,D21)+COUNTIF(N15:O15,"*,"&amp;D21&amp;",*")+COUNTIF(B17:C17,D21)+COUNTIF(B17:C17,"*,"&amp;D21&amp;",*")+COUNTIF(E17:F17,D21)+COUNTIF(E17:F17,"*,"&amp;D21&amp;",*")+COUNTIF(H17:I17,D21)+COUNTIF(H17:I17,"*,"&amp;D21&amp;",*")+COUNTIF(K17:L17,D21)+COUNTIF(K17:L17,"*,"&amp;D21&amp;",*")+COUNTIF(N17:O17,D21)+COUNTIF(N17:O17,"*,"&amp;D21&amp;",*")))</f>
        <v/>
      </c>
      <c r="E24" s="21">
        <f>IF(E21="","",IF(COUNTIF(B5:C5,E21)+COUNTIF(B5:C5,"*,"&amp;E21&amp;",*")+COUNTIF(E5:F5,E21)+COUNTIF(E5:F5,"*,"&amp;E21&amp;",*")+COUNTIF(H5:I5,E21)+COUNTIF(H5:I5,"*,"&amp;E21&amp;",*")+COUNTIF(K5:L5,E21)+COUNTIF(K5:L5,"*,"&amp;E21&amp;",*")+COUNTIF(N5:O5,E21)+COUNTIF(N5:O5,"*,"&amp;E21&amp;",*")+COUNTIF(B7:C7,E21)+COUNTIF(B7:C7,"*,"&amp;E21&amp;",*")+COUNTIF(E7:F7,E21)+COUNTIF(E7:F7,"*,"&amp;E21&amp;",*")+COUNTIF(H7:I7,E21)+COUNTIF(H7:I7,"*,"&amp;E21&amp;",*")+COUNTIF(K7:L7,E21)+COUNTIF(K7:L7,"*,"&amp;E21&amp;",*")+COUNTIF(N7:O7,E21)+COUNTIF(N7:O7,"*,"&amp;E21&amp;",*")+COUNTIF(B9:C9,E21)+COUNTIF(B9:C9,"*,"&amp;E21&amp;",*")+COUNTIF(E9:F9,E21)+COUNTIF(E9:F9,"*,"&amp;E21&amp;",*")+COUNTIF(H9:I9,E21)+COUNTIF(H9:I9,"*,"&amp;E21&amp;",*")+COUNTIF(K9:L9,E21)+COUNTIF(K9:L9,"*,"&amp;E21&amp;",*")+COUNTIF(N9:O9,E21)+COUNTIF(N9:O9,"*,"&amp;E21&amp;",*")+COUNTIF(B11:C11,E21)+COUNTIF(B11:C11,"*,"&amp;E21&amp;",*")+COUNTIF(E11:F11,E21)+COUNTIF(E11:F11,"*,"&amp;E21&amp;",*")+COUNTIF(H11:I11,E21)+COUNTIF(H11:I11,"*,"&amp;E21&amp;",*")+COUNTIF(K11:L11,E21)+COUNTIF(K11:L11,"*,"&amp;E21&amp;",*")+COUNTIF(N11:O11,E21)+COUNTIF(N11:O11,"*,"&amp;E21&amp;",*")+COUNTIF(B13:C13,E21)+COUNTIF(B13:C13,"*,"&amp;E21&amp;",*")+COUNTIF(E13:F13,E21)+COUNTIF(E13:F13,"*,"&amp;E21&amp;",*")+COUNTIF(H13:I13,E21)+COUNTIF(H13:I13,"*,"&amp;E21&amp;",*")+COUNTIF(K13:L13,E21)+COUNTIF(K13:L13,"*,"&amp;E21&amp;",*")+COUNTIF(N13:O13,E21)+COUNTIF(N13:O13,"*,"&amp;E21&amp;",*")+COUNTIF(B15:C15,E21)+COUNTIF(B15:C15,"*,"&amp;E21&amp;",*")+COUNTIF(E15:F15,E21)+COUNTIF(E15:F15,"*,"&amp;E21&amp;",*")+COUNTIF(H15:I15,E21)+COUNTIF(H15:I15,"*,"&amp;E21&amp;",*")+COUNTIF(K15:L15,E21)+COUNTIF(K15:L15,"*,"&amp;E21&amp;",*")+COUNTIF(N15:O15,E21)+COUNTIF(N15:O15,"*,"&amp;E21&amp;",*")+COUNTIF(B17:C17,E21)+COUNTIF(B17:C17,"*,"&amp;E21&amp;",*")+COUNTIF(E17:F17,E21)+COUNTIF(E17:F17,"*,"&amp;E21&amp;",*")+COUNTIF(H17:I17,E21)+COUNTIF(H17:I17,"*,"&amp;E21&amp;",*")+COUNTIF(K17:L17,E21)+COUNTIF(K17:L17,"*,"&amp;E21&amp;",*")+COUNTIF(N17:O17,E21)+COUNTIF(N17:O17,"*,"&amp;E21&amp;",*")=0,"",COUNTIF(B5:C5,E21)+COUNTIF(B5:C5,"*,"&amp;E21&amp;",*")+COUNTIF(E5:F5,E21)+COUNTIF(E5:F5,"*,"&amp;E21&amp;",*")+COUNTIF(H5:I5,E21)+COUNTIF(H5:I5,"*,"&amp;E21&amp;",*")+COUNTIF(K5:L5,E21)+COUNTIF(K5:L5,"*,"&amp;E21&amp;",*")+COUNTIF(N5:O5,E21)+COUNTIF(N5:O5,"*,"&amp;E21&amp;",*")+COUNTIF(B7:C7,E21)+COUNTIF(B7:C7,"*,"&amp;E21&amp;",*")+COUNTIF(E7:F7,E21)+COUNTIF(E7:F7,"*,"&amp;E21&amp;",*")+COUNTIF(H7:I7,E21)+COUNTIF(H7:I7,"*,"&amp;E21&amp;",*")+COUNTIF(K7:L7,E21)+COUNTIF(K7:L7,"*,"&amp;E21&amp;",*")+COUNTIF(N7:O7,E21)+COUNTIF(N7:O7,"*,"&amp;E21&amp;",*")+COUNTIF(B9:C9,E21)+COUNTIF(B9:C9,"*,"&amp;E21&amp;",*")+COUNTIF(E9:F9,E21)+COUNTIF(E9:F9,"*,"&amp;E21&amp;",*")+COUNTIF(H9:I9,E21)+COUNTIF(H9:I9,"*,"&amp;E21&amp;",*")+COUNTIF(K9:L9,E21)+COUNTIF(K9:L9,"*,"&amp;E21&amp;",*")+COUNTIF(N9:O9,E21)+COUNTIF(N9:O9,"*,"&amp;E21&amp;",*")+COUNTIF(B11:C11,E21)+COUNTIF(B11:C11,"*,"&amp;E21&amp;",*")+COUNTIF(E11:F11,E21)+COUNTIF(E11:F11,"*,"&amp;E21&amp;",*")+COUNTIF(H11:I11,E21)+COUNTIF(H11:I11,"*,"&amp;E21&amp;",*")+COUNTIF(K11:L11,E21)+COUNTIF(K11:L11,"*,"&amp;E21&amp;",*")+COUNTIF(N11:O11,E21)+COUNTIF(N11:O11,"*,"&amp;E21&amp;",*")+COUNTIF(B13:C13,E21)+COUNTIF(B13:C13,"*,"&amp;E21&amp;",*")+COUNTIF(E13:F13,E21)+COUNTIF(E13:F13,"*,"&amp;E21&amp;",*")+COUNTIF(H13:I13,E21)+COUNTIF(H13:I13,"*,"&amp;E21&amp;",*")+COUNTIF(K13:L13,E21)+COUNTIF(K13:L13,"*,"&amp;E21&amp;",*")+COUNTIF(N13:O13,E21)+COUNTIF(N13:O13,"*,"&amp;E21&amp;",*")+COUNTIF(B15:C15,E21)+COUNTIF(B15:C15,"*,"&amp;E21&amp;",*")+COUNTIF(E15:F15,E21)+COUNTIF(E15:F15,"*,"&amp;E21&amp;",*")+COUNTIF(H15:I15,E21)+COUNTIF(H15:I15,"*,"&amp;E21&amp;",*")+COUNTIF(K15:L15,E21)+COUNTIF(K15:L15,"*,"&amp;E21&amp;",*")+COUNTIF(N15:O15,E21)+COUNTIF(N15:O15,"*,"&amp;E21&amp;",*")+COUNTIF(B17:C17,E21)+COUNTIF(B17:C17,"*,"&amp;E21&amp;",*")+COUNTIF(E17:F17,E21)+COUNTIF(E17:F17,"*,"&amp;E21&amp;",*")+COUNTIF(H17:I17,E21)+COUNTIF(H17:I17,"*,"&amp;E21&amp;",*")+COUNTIF(K17:L17,E21)+COUNTIF(K17:L17,"*,"&amp;E21&amp;",*")+COUNTIF(N17:O17,E21)+COUNTIF(N17:O17,"*,"&amp;E21&amp;",*")))</f>
        <v/>
      </c>
      <c r="F24" s="21">
        <f>IF(F21="","",IF(COUNTIF(B5:C5,F21)+COUNTIF(B5:C5,"*,"&amp;F21&amp;",*")+COUNTIF(E5:F5,F21)+COUNTIF(E5:F5,"*,"&amp;F21&amp;",*")+COUNTIF(H5:I5,F21)+COUNTIF(H5:I5,"*,"&amp;F21&amp;",*")+COUNTIF(K5:L5,F21)+COUNTIF(K5:L5,"*,"&amp;F21&amp;",*")+COUNTIF(N5:O5,F21)+COUNTIF(N5:O5,"*,"&amp;F21&amp;",*")+COUNTIF(B7:C7,F21)+COUNTIF(B7:C7,"*,"&amp;F21&amp;",*")+COUNTIF(E7:F7,F21)+COUNTIF(E7:F7,"*,"&amp;F21&amp;",*")+COUNTIF(H7:I7,F21)+COUNTIF(H7:I7,"*,"&amp;F21&amp;",*")+COUNTIF(K7:L7,F21)+COUNTIF(K7:L7,"*,"&amp;F21&amp;",*")+COUNTIF(N7:O7,F21)+COUNTIF(N7:O7,"*,"&amp;F21&amp;",*")+COUNTIF(B9:C9,F21)+COUNTIF(B9:C9,"*,"&amp;F21&amp;",*")+COUNTIF(E9:F9,F21)+COUNTIF(E9:F9,"*,"&amp;F21&amp;",*")+COUNTIF(H9:I9,F21)+COUNTIF(H9:I9,"*,"&amp;F21&amp;",*")+COUNTIF(K9:L9,F21)+COUNTIF(K9:L9,"*,"&amp;F21&amp;",*")+COUNTIF(N9:O9,F21)+COUNTIF(N9:O9,"*,"&amp;F21&amp;",*")+COUNTIF(B11:C11,F21)+COUNTIF(B11:C11,"*,"&amp;F21&amp;",*")+COUNTIF(E11:F11,F21)+COUNTIF(E11:F11,"*,"&amp;F21&amp;",*")+COUNTIF(H11:I11,F21)+COUNTIF(H11:I11,"*,"&amp;F21&amp;",*")+COUNTIF(K11:L11,F21)+COUNTIF(K11:L11,"*,"&amp;F21&amp;",*")+COUNTIF(N11:O11,F21)+COUNTIF(N11:O11,"*,"&amp;F21&amp;",*")+COUNTIF(B13:C13,F21)+COUNTIF(B13:C13,"*,"&amp;F21&amp;",*")+COUNTIF(E13:F13,F21)+COUNTIF(E13:F13,"*,"&amp;F21&amp;",*")+COUNTIF(H13:I13,F21)+COUNTIF(H13:I13,"*,"&amp;F21&amp;",*")+COUNTIF(K13:L13,F21)+COUNTIF(K13:L13,"*,"&amp;F21&amp;",*")+COUNTIF(N13:O13,F21)+COUNTIF(N13:O13,"*,"&amp;F21&amp;",*")+COUNTIF(B15:C15,F21)+COUNTIF(B15:C15,"*,"&amp;F21&amp;",*")+COUNTIF(E15:F15,F21)+COUNTIF(E15:F15,"*,"&amp;F21&amp;",*")+COUNTIF(H15:I15,F21)+COUNTIF(H15:I15,"*,"&amp;F21&amp;",*")+COUNTIF(K15:L15,F21)+COUNTIF(K15:L15,"*,"&amp;F21&amp;",*")+COUNTIF(N15:O15,F21)+COUNTIF(N15:O15,"*,"&amp;F21&amp;",*")+COUNTIF(B17:C17,F21)+COUNTIF(B17:C17,"*,"&amp;F21&amp;",*")+COUNTIF(E17:F17,F21)+COUNTIF(E17:F17,"*,"&amp;F21&amp;",*")+COUNTIF(H17:I17,F21)+COUNTIF(H17:I17,"*,"&amp;F21&amp;",*")+COUNTIF(K17:L17,F21)+COUNTIF(K17:L17,"*,"&amp;F21&amp;",*")+COUNTIF(N17:O17,F21)+COUNTIF(N17:O17,"*,"&amp;F21&amp;",*")=0,"",COUNTIF(B5:C5,F21)+COUNTIF(B5:C5,"*,"&amp;F21&amp;",*")+COUNTIF(E5:F5,F21)+COUNTIF(E5:F5,"*,"&amp;F21&amp;",*")+COUNTIF(H5:I5,F21)+COUNTIF(H5:I5,"*,"&amp;F21&amp;",*")+COUNTIF(K5:L5,F21)+COUNTIF(K5:L5,"*,"&amp;F21&amp;",*")+COUNTIF(N5:O5,F21)+COUNTIF(N5:O5,"*,"&amp;F21&amp;",*")+COUNTIF(B7:C7,F21)+COUNTIF(B7:C7,"*,"&amp;F21&amp;",*")+COUNTIF(E7:F7,F21)+COUNTIF(E7:F7,"*,"&amp;F21&amp;",*")+COUNTIF(H7:I7,F21)+COUNTIF(H7:I7,"*,"&amp;F21&amp;",*")+COUNTIF(K7:L7,F21)+COUNTIF(K7:L7,"*,"&amp;F21&amp;",*")+COUNTIF(N7:O7,F21)+COUNTIF(N7:O7,"*,"&amp;F21&amp;",*")+COUNTIF(B9:C9,F21)+COUNTIF(B9:C9,"*,"&amp;F21&amp;",*")+COUNTIF(E9:F9,F21)+COUNTIF(E9:F9,"*,"&amp;F21&amp;",*")+COUNTIF(H9:I9,F21)+COUNTIF(H9:I9,"*,"&amp;F21&amp;",*")+COUNTIF(K9:L9,F21)+COUNTIF(K9:L9,"*,"&amp;F21&amp;",*")+COUNTIF(N9:O9,F21)+COUNTIF(N9:O9,"*,"&amp;F21&amp;",*")+COUNTIF(B11:C11,F21)+COUNTIF(B11:C11,"*,"&amp;F21&amp;",*")+COUNTIF(E11:F11,F21)+COUNTIF(E11:F11,"*,"&amp;F21&amp;",*")+COUNTIF(H11:I11,F21)+COUNTIF(H11:I11,"*,"&amp;F21&amp;",*")+COUNTIF(K11:L11,F21)+COUNTIF(K11:L11,"*,"&amp;F21&amp;",*")+COUNTIF(N11:O11,F21)+COUNTIF(N11:O11,"*,"&amp;F21&amp;",*")+COUNTIF(B13:C13,F21)+COUNTIF(B13:C13,"*,"&amp;F21&amp;",*")+COUNTIF(E13:F13,F21)+COUNTIF(E13:F13,"*,"&amp;F21&amp;",*")+COUNTIF(H13:I13,F21)+COUNTIF(H13:I13,"*,"&amp;F21&amp;",*")+COUNTIF(K13:L13,F21)+COUNTIF(K13:L13,"*,"&amp;F21&amp;",*")+COUNTIF(N13:O13,F21)+COUNTIF(N13:O13,"*,"&amp;F21&amp;",*")+COUNTIF(B15:C15,F21)+COUNTIF(B15:C15,"*,"&amp;F21&amp;",*")+COUNTIF(E15:F15,F21)+COUNTIF(E15:F15,"*,"&amp;F21&amp;",*")+COUNTIF(H15:I15,F21)+COUNTIF(H15:I15,"*,"&amp;F21&amp;",*")+COUNTIF(K15:L15,F21)+COUNTIF(K15:L15,"*,"&amp;F21&amp;",*")+COUNTIF(N15:O15,F21)+COUNTIF(N15:O15,"*,"&amp;F21&amp;",*")+COUNTIF(B17:C17,F21)+COUNTIF(B17:C17,"*,"&amp;F21&amp;",*")+COUNTIF(E17:F17,F21)+COUNTIF(E17:F17,"*,"&amp;F21&amp;",*")+COUNTIF(H17:I17,F21)+COUNTIF(H17:I17,"*,"&amp;F21&amp;",*")+COUNTIF(K17:L17,F21)+COUNTIF(K17:L17,"*,"&amp;F21&amp;",*")+COUNTIF(N17:O17,F21)+COUNTIF(N17:O17,"*,"&amp;F21&amp;",*")))</f>
        <v/>
      </c>
      <c r="G24" s="21">
        <f>IF(G21="","",IF(COUNTIF(B5:C5,G21)+COUNTIF(B5:C5,"*,"&amp;G21&amp;",*")+COUNTIF(E5:F5,G21)+COUNTIF(E5:F5,"*,"&amp;G21&amp;",*")+COUNTIF(H5:I5,G21)+COUNTIF(H5:I5,"*,"&amp;G21&amp;",*")+COUNTIF(K5:L5,G21)+COUNTIF(K5:L5,"*,"&amp;G21&amp;",*")+COUNTIF(N5:O5,G21)+COUNTIF(N5:O5,"*,"&amp;G21&amp;",*")+COUNTIF(B7:C7,G21)+COUNTIF(B7:C7,"*,"&amp;G21&amp;",*")+COUNTIF(E7:F7,G21)+COUNTIF(E7:F7,"*,"&amp;G21&amp;",*")+COUNTIF(H7:I7,G21)+COUNTIF(H7:I7,"*,"&amp;G21&amp;",*")+COUNTIF(K7:L7,G21)+COUNTIF(K7:L7,"*,"&amp;G21&amp;",*")+COUNTIF(N7:O7,G21)+COUNTIF(N7:O7,"*,"&amp;G21&amp;",*")+COUNTIF(B9:C9,G21)+COUNTIF(B9:C9,"*,"&amp;G21&amp;",*")+COUNTIF(E9:F9,G21)+COUNTIF(E9:F9,"*,"&amp;G21&amp;",*")+COUNTIF(H9:I9,G21)+COUNTIF(H9:I9,"*,"&amp;G21&amp;",*")+COUNTIF(K9:L9,G21)+COUNTIF(K9:L9,"*,"&amp;G21&amp;",*")+COUNTIF(N9:O9,G21)+COUNTIF(N9:O9,"*,"&amp;G21&amp;",*")+COUNTIF(B11:C11,G21)+COUNTIF(B11:C11,"*,"&amp;G21&amp;",*")+COUNTIF(E11:F11,G21)+COUNTIF(E11:F11,"*,"&amp;G21&amp;",*")+COUNTIF(H11:I11,G21)+COUNTIF(H11:I11,"*,"&amp;G21&amp;",*")+COUNTIF(K11:L11,G21)+COUNTIF(K11:L11,"*,"&amp;G21&amp;",*")+COUNTIF(N11:O11,G21)+COUNTIF(N11:O11,"*,"&amp;G21&amp;",*")+COUNTIF(B13:C13,G21)+COUNTIF(B13:C13,"*,"&amp;G21&amp;",*")+COUNTIF(E13:F13,G21)+COUNTIF(E13:F13,"*,"&amp;G21&amp;",*")+COUNTIF(H13:I13,G21)+COUNTIF(H13:I13,"*,"&amp;G21&amp;",*")+COUNTIF(K13:L13,G21)+COUNTIF(K13:L13,"*,"&amp;G21&amp;",*")+COUNTIF(N13:O13,G21)+COUNTIF(N13:O13,"*,"&amp;G21&amp;",*")+COUNTIF(B15:C15,G21)+COUNTIF(B15:C15,"*,"&amp;G21&amp;",*")+COUNTIF(E15:F15,G21)+COUNTIF(E15:F15,"*,"&amp;G21&amp;",*")+COUNTIF(H15:I15,G21)+COUNTIF(H15:I15,"*,"&amp;G21&amp;",*")+COUNTIF(K15:L15,G21)+COUNTIF(K15:L15,"*,"&amp;G21&amp;",*")+COUNTIF(N15:O15,G21)+COUNTIF(N15:O15,"*,"&amp;G21&amp;",*")+COUNTIF(B17:C17,G21)+COUNTIF(B17:C17,"*,"&amp;G21&amp;",*")+COUNTIF(E17:F17,G21)+COUNTIF(E17:F17,"*,"&amp;G21&amp;",*")+COUNTIF(H17:I17,G21)+COUNTIF(H17:I17,"*,"&amp;G21&amp;",*")+COUNTIF(K17:L17,G21)+COUNTIF(K17:L17,"*,"&amp;G21&amp;",*")+COUNTIF(N17:O17,G21)+COUNTIF(N17:O17,"*,"&amp;G21&amp;",*")=0,"",COUNTIF(B5:C5,G21)+COUNTIF(B5:C5,"*,"&amp;G21&amp;",*")+COUNTIF(E5:F5,G21)+COUNTIF(E5:F5,"*,"&amp;G21&amp;",*")+COUNTIF(H5:I5,G21)+COUNTIF(H5:I5,"*,"&amp;G21&amp;",*")+COUNTIF(K5:L5,G21)+COUNTIF(K5:L5,"*,"&amp;G21&amp;",*")+COUNTIF(N5:O5,G21)+COUNTIF(N5:O5,"*,"&amp;G21&amp;",*")+COUNTIF(B7:C7,G21)+COUNTIF(B7:C7,"*,"&amp;G21&amp;",*")+COUNTIF(E7:F7,G21)+COUNTIF(E7:F7,"*,"&amp;G21&amp;",*")+COUNTIF(H7:I7,G21)+COUNTIF(H7:I7,"*,"&amp;G21&amp;",*")+COUNTIF(K7:L7,G21)+COUNTIF(K7:L7,"*,"&amp;G21&amp;",*")+COUNTIF(N7:O7,G21)+COUNTIF(N7:O7,"*,"&amp;G21&amp;",*")+COUNTIF(B9:C9,G21)+COUNTIF(B9:C9,"*,"&amp;G21&amp;",*")+COUNTIF(E9:F9,G21)+COUNTIF(E9:F9,"*,"&amp;G21&amp;",*")+COUNTIF(H9:I9,G21)+COUNTIF(H9:I9,"*,"&amp;G21&amp;",*")+COUNTIF(K9:L9,G21)+COUNTIF(K9:L9,"*,"&amp;G21&amp;",*")+COUNTIF(N9:O9,G21)+COUNTIF(N9:O9,"*,"&amp;G21&amp;",*")+COUNTIF(B11:C11,G21)+COUNTIF(B11:C11,"*,"&amp;G21&amp;",*")+COUNTIF(E11:F11,G21)+COUNTIF(E11:F11,"*,"&amp;G21&amp;",*")+COUNTIF(H11:I11,G21)+COUNTIF(H11:I11,"*,"&amp;G21&amp;",*")+COUNTIF(K11:L11,G21)+COUNTIF(K11:L11,"*,"&amp;G21&amp;",*")+COUNTIF(N11:O11,G21)+COUNTIF(N11:O11,"*,"&amp;G21&amp;",*")+COUNTIF(B13:C13,G21)+COUNTIF(B13:C13,"*,"&amp;G21&amp;",*")+COUNTIF(E13:F13,G21)+COUNTIF(E13:F13,"*,"&amp;G21&amp;",*")+COUNTIF(H13:I13,G21)+COUNTIF(H13:I13,"*,"&amp;G21&amp;",*")+COUNTIF(K13:L13,G21)+COUNTIF(K13:L13,"*,"&amp;G21&amp;",*")+COUNTIF(N13:O13,G21)+COUNTIF(N13:O13,"*,"&amp;G21&amp;",*")+COUNTIF(B15:C15,G21)+COUNTIF(B15:C15,"*,"&amp;G21&amp;",*")+COUNTIF(E15:F15,G21)+COUNTIF(E15:F15,"*,"&amp;G21&amp;",*")+COUNTIF(H15:I15,G21)+COUNTIF(H15:I15,"*,"&amp;G21&amp;",*")+COUNTIF(K15:L15,G21)+COUNTIF(K15:L15,"*,"&amp;G21&amp;",*")+COUNTIF(N15:O15,G21)+COUNTIF(N15:O15,"*,"&amp;G21&amp;",*")+COUNTIF(B17:C17,G21)+COUNTIF(B17:C17,"*,"&amp;G21&amp;",*")+COUNTIF(E17:F17,G21)+COUNTIF(E17:F17,"*,"&amp;G21&amp;",*")+COUNTIF(H17:I17,G21)+COUNTIF(H17:I17,"*,"&amp;G21&amp;",*")+COUNTIF(K17:L17,G21)+COUNTIF(K17:L17,"*,"&amp;G21&amp;",*")+COUNTIF(N17:O17,G21)+COUNTIF(N17:O17,"*,"&amp;G21&amp;",*")))</f>
        <v/>
      </c>
      <c r="H24" s="21"/>
      <c r="I24" s="21"/>
      <c r="J24" s="21"/>
      <c r="K24" s="21"/>
      <c r="L24" s="21"/>
      <c r="M24" s="21">
        <f>IF(COUNTIF(B5:C5,"特活")+COUNTIF(B5:C5,"学活")+COUNTIF(E5:F5,"特活")+COUNTIF(E5:F5,"学活")+COUNTIF(H5:I5,"特活")+COUNTIF(H5:I5,"学活")+COUNTIF(K5:L5,"特活")+COUNTIF(K5:L5,"学活")+COUNTIF(N5:O5,"特活")+COUNTIF(N5:O5,"学活")+COUNTIF(B7:C7,"特活")+COUNTIF(B7:C7,"学活")+COUNTIF(E7:F7,"特活")+COUNTIF(E7:F7,"学活")+COUNTIF(H7:I7,"特活")+COUNTIF(H7:I7,"学活")+COUNTIF(K7:L7,"特活")+COUNTIF(K7:L7,"学活")+COUNTIF(N7:O7,"特活")+COUNTIF(N7:O7,"学活")+COUNTIF(B9:C9,"特活")+COUNTIF(B9:C9,"学活")+COUNTIF(E9:F9,"特活")+COUNTIF(E9:F9,"学活")+COUNTIF(H9:I9,"特活")+COUNTIF(H9:I9,"学活")+COUNTIF(K9:L9,"特活")+COUNTIF(K9:L9,"学活")+COUNTIF(N9:O9,"特活")+COUNTIF(N9:O9,"学活")+COUNTIF(B11:C11,"特活")+COUNTIF(B11:C11,"学活")+COUNTIF(E11:F11,"特活")+COUNTIF(E11:F11,"学活")+COUNTIF(H11:I11,"特活")+COUNTIF(H11:I11,"学活")+COUNTIF(K11:L11,"特活")+COUNTIF(K11:L11,"学活")+COUNTIF(N11:O11,"特活")+COUNTIF(N11:O11,"学活")+COUNTIF(B13:C13,"特活")+COUNTIF(B13:C13,"学活")+COUNTIF(E13:F13,"特活")+COUNTIF(E13:F13,"学活")+COUNTIF(H13:I13,"特活")+COUNTIF(H13:I13,"学活")+COUNTIF(K13:L13,"特活")+COUNTIF(K13:L13,"学活")+COUNTIF(N13:O13,"特活")+COUNTIF(N13:O13,"学活")+COUNTIF(B15:C15,"特活")+COUNTIF(B15:C15,"学活")+COUNTIF(E15:F15,"特活")+COUNTIF(E15:F15,"学活")+COUNTIF(H15:I15,"特活")+COUNTIF(H15:I15,"学活")+COUNTIF(K15:L15,"特活")+COUNTIF(K15:L15,"学活")+COUNTIF(N15:O15,"特活")+COUNTIF(N15:O15,"学活")+COUNTIF(B17:C17,"特活")+COUNTIF(B17:C17,"学活")+COUNTIF(E17:F17,"特活")+COUNTIF(E17:F17,"学活")+COUNTIF(H17:I17,"特活")+COUNTIF(H17:I17,"学活")+COUNTIF(K17:L17,"特活")+COUNTIF(K17:L17,"学活")+COUNTIF(N17:O17,"特活")+COUNTIF(N17:O17,"学活")=0,"",COUNTIF(B5:C5,"特活")+COUNTIF(B5:C5,"学活")+COUNTIF(E5:F5,"特活")+COUNTIF(E5:F5,"学活")+COUNTIF(H5:I5,"特活")+COUNTIF(H5:I5,"学活")+COUNTIF(K5:L5,"特活")+COUNTIF(K5:L5,"学活")+COUNTIF(N5:O5,"特活")+COUNTIF(N5:O5,"学活")+COUNTIF(B7:C7,"特活")+COUNTIF(B7:C7,"学活")+COUNTIF(E7:F7,"特活")+COUNTIF(E7:F7,"学活")+COUNTIF(H7:I7,"特活")+COUNTIF(H7:I7,"学活")+COUNTIF(K7:L7,"特活")+COUNTIF(K7:L7,"学活")+COUNTIF(N7:O7,"特活")+COUNTIF(N7:O7,"学活")+COUNTIF(B9:C9,"特活")+COUNTIF(B9:C9,"学活")+COUNTIF(E9:F9,"特活")+COUNTIF(E9:F9,"学活")+COUNTIF(H9:I9,"特活")+COUNTIF(H9:I9,"学活")+COUNTIF(K9:L9,"特活")+COUNTIF(K9:L9,"学活")+COUNTIF(N9:O9,"特活")+COUNTIF(N9:O9,"学活")+COUNTIF(B11:C11,"特活")+COUNTIF(B11:C11,"学活")+COUNTIF(E11:F11,"特活")+COUNTIF(E11:F11,"学活")+COUNTIF(H11:I11,"特活")+COUNTIF(H11:I11,"学活")+COUNTIF(K11:L11,"特活")+COUNTIF(K11:L11,"学活")+COUNTIF(N11:O11,"特活")+COUNTIF(N11:O11,"学活")+COUNTIF(B13:C13,"特活")+COUNTIF(B13:C13,"学活")+COUNTIF(E13:F13,"特活")+COUNTIF(E13:F13,"学活")+COUNTIF(H13:I13,"特活")+COUNTIF(H13:I13,"学活")+COUNTIF(K13:L13,"特活")+COUNTIF(K13:L13,"学活")+COUNTIF(N13:O13,"特活")+COUNTIF(N13:O13,"学活")+COUNTIF(B15:C15,"特活")+COUNTIF(B15:C15,"学活")+COUNTIF(E15:F15,"特活")+COUNTIF(E15:F15,"学活")+COUNTIF(H15:I15,"特活")+COUNTIF(H15:I15,"学活")+COUNTIF(K15:L15,"特活")+COUNTIF(K15:L15,"学活")+COUNTIF(N15:O15,"特活")+COUNTIF(N15:O15,"学活")+COUNTIF(B17:C17,"特活")+COUNTIF(B17:C17,"学活")+COUNTIF(E17:F17,"特活")+COUNTIF(E17:F17,"学活")+COUNTIF(H17:I17,"特活")+COUNTIF(H17:I17,"学活")+COUNTIF(K17:L17,"特活")+COUNTIF(K17:L17,"学活")+COUNTIF(N17:O17,"特活")+COUNTIF(N17:O17,"学活"))</f>
        <v/>
      </c>
      <c r="N24" s="21">
        <f>IF(COUNTIF(B5:C5,N21)+COUNTIF(B5:C5,"*,"&amp;N21&amp;",*")+COUNTIF(E5:F5,N21)+COUNTIF(E5:F5,"*,"&amp;N21&amp;",*")+COUNTIF(H5:I5,N21)+COUNTIF(H5:I5,"*,"&amp;N21&amp;",*")+COUNTIF(K5:L5,N21)+COUNTIF(K5:L5,"*,"&amp;N21&amp;",*")+COUNTIF(N5:O5,N21)+COUNTIF(N5:O5,"*,"&amp;N21&amp;",*")+COUNTIF(B7:C7,N21)+COUNTIF(B7:C7,"*,"&amp;N21&amp;",*")+COUNTIF(E7:F7,N21)+COUNTIF(E7:F7,"*,"&amp;N21&amp;",*")+COUNTIF(H7:I7,N21)+COUNTIF(H7:I7,"*,"&amp;N21&amp;",*")+COUNTIF(K7:L7,N21)+COUNTIF(K7:L7,"*,"&amp;N21&amp;",*")+COUNTIF(N7:O7,N21)+COUNTIF(N7:O7,"*,"&amp;N21&amp;",*")+COUNTIF(B9:C9,N21)+COUNTIF(B9:C9,"*,"&amp;N21&amp;",*")+COUNTIF(E9:F9,N21)+COUNTIF(E9:F9,"*,"&amp;N21&amp;",*")+COUNTIF(H9:I9,N21)+COUNTIF(H9:I9,"*,"&amp;N21&amp;",*")+COUNTIF(K9:L9,N21)+COUNTIF(K9:L9,"*,"&amp;N21&amp;",*")+COUNTIF(N9:O9,N21)+COUNTIF(N9:O9,"*,"&amp;N21&amp;",*")+COUNTIF(B11:C11,N21)+COUNTIF(B11:C11,"*,"&amp;N21&amp;",*")+COUNTIF(E11:F11,N21)+COUNTIF(E11:F11,"*,"&amp;N21&amp;",*")+COUNTIF(H11:I11,N21)+COUNTIF(H11:I11,"*,"&amp;N21&amp;",*")+COUNTIF(K11:L11,N21)+COUNTIF(K11:L11,"*,"&amp;N21&amp;",*")+COUNTIF(N11:O11,N21)+COUNTIF(N11:O11,"*,"&amp;N21&amp;",*")+COUNTIF(B13:C13,N21)+COUNTIF(B13:C13,"*,"&amp;N21&amp;",*")+COUNTIF(E13:F13,N21)+COUNTIF(E13:F13,"*,"&amp;N21&amp;",*")+COUNTIF(H13:I13,N21)+COUNTIF(H13:I13,"*,"&amp;N21&amp;",*")+COUNTIF(K13:L13,N21)+COUNTIF(K13:L13,"*,"&amp;N21&amp;",*")+COUNTIF(N13:O13,N21)+COUNTIF(N13:O13,"*,"&amp;N21&amp;",*")+COUNTIF(B15:C15,N21)+COUNTIF(B15:C15,"*,"&amp;N21&amp;",*")+COUNTIF(E15:F15,N21)+COUNTIF(E15:F15,"*,"&amp;N21&amp;",*")+COUNTIF(H15:I15,N21)+COUNTIF(H15:I15,"*,"&amp;N21&amp;",*")+COUNTIF(K15:L15,N21)+COUNTIF(K15:L15,"*,"&amp;N21&amp;",*")+COUNTIF(N15:O15,N21)+COUNTIF(N15:O15,"*,"&amp;N21&amp;",*")+COUNTIF(B17:C17,N21)+COUNTIF(B17:C17,"*,"&amp;N21&amp;",*")+COUNTIF(E17:F17,N21)+COUNTIF(E17:F17,"*,"&amp;N21&amp;",*")+COUNTIF(H17:I17,N21)+COUNTIF(H17:I17,"*,"&amp;N21&amp;",*")+COUNTIF(K17:L17,N21)+COUNTIF(K17:L17,"*,"&amp;N21&amp;",*")+COUNTIF(N17:O17,N21)+COUNTIF(N17:O17,"*,"&amp;N21&amp;",*")=0,"",COUNTIF(B5:C5,N21)+COUNTIF(B5:C5,"*,"&amp;N21&amp;",*")+COUNTIF(E5:F5,N21)+COUNTIF(E5:F5,"*,"&amp;N21&amp;",*")+COUNTIF(H5:I5,N21)+COUNTIF(H5:I5,"*,"&amp;N21&amp;",*")+COUNTIF(K5:L5,N21)+COUNTIF(K5:L5,"*,"&amp;N21&amp;",*")+COUNTIF(N5:O5,N21)+COUNTIF(N5:O5,"*,"&amp;N21&amp;",*")+COUNTIF(B7:C7,N21)+COUNTIF(B7:C7,"*,"&amp;N21&amp;",*")+COUNTIF(E7:F7,N21)+COUNTIF(E7:F7,"*,"&amp;N21&amp;",*")+COUNTIF(H7:I7,N21)+COUNTIF(H7:I7,"*,"&amp;N21&amp;",*")+COUNTIF(K7:L7,N21)+COUNTIF(K7:L7,"*,"&amp;N21&amp;",*")+COUNTIF(N7:O7,N21)+COUNTIF(N7:O7,"*,"&amp;N21&amp;",*")+COUNTIF(B9:C9,N21)+COUNTIF(B9:C9,"*,"&amp;N21&amp;",*")+COUNTIF(E9:F9,N21)+COUNTIF(E9:F9,"*,"&amp;N21&amp;",*")+COUNTIF(H9:I9,N21)+COUNTIF(H9:I9,"*,"&amp;N21&amp;",*")+COUNTIF(K9:L9,N21)+COUNTIF(K9:L9,"*,"&amp;N21&amp;",*")+COUNTIF(N9:O9,N21)+COUNTIF(N9:O9,"*,"&amp;N21&amp;",*")+COUNTIF(B11:C11,N21)+COUNTIF(B11:C11,"*,"&amp;N21&amp;",*")+COUNTIF(E11:F11,N21)+COUNTIF(E11:F11,"*,"&amp;N21&amp;",*")+COUNTIF(H11:I11,N21)+COUNTIF(H11:I11,"*,"&amp;N21&amp;",*")+COUNTIF(K11:L11,N21)+COUNTIF(K11:L11,"*,"&amp;N21&amp;",*")+COUNTIF(N11:O11,N21)+COUNTIF(N11:O11,"*,"&amp;N21&amp;",*")+COUNTIF(B13:C13,N21)+COUNTIF(B13:C13,"*,"&amp;N21&amp;",*")+COUNTIF(E13:F13,N21)+COUNTIF(E13:F13,"*,"&amp;N21&amp;",*")+COUNTIF(H13:I13,N21)+COUNTIF(H13:I13,"*,"&amp;N21&amp;",*")+COUNTIF(K13:L13,N21)+COUNTIF(K13:L13,"*,"&amp;N21&amp;",*")+COUNTIF(N13:O13,N21)+COUNTIF(N13:O13,"*,"&amp;N21&amp;",*")+COUNTIF(B15:C15,N21)+COUNTIF(B15:C15,"*,"&amp;N21&amp;",*")+COUNTIF(E15:F15,N21)+COUNTIF(E15:F15,"*,"&amp;N21&amp;",*")+COUNTIF(H15:I15,N21)+COUNTIF(H15:I15,"*,"&amp;N21&amp;",*")+COUNTIF(K15:L15,N21)+COUNTIF(K15:L15,"*,"&amp;N21&amp;",*")+COUNTIF(N15:O15,N21)+COUNTIF(N15:O15,"*,"&amp;N21&amp;",*")+COUNTIF(B17:C17,N21)+COUNTIF(B17:C17,"*,"&amp;N21&amp;",*")+COUNTIF(E17:F17,N21)+COUNTIF(E17:F17,"*,"&amp;N21&amp;",*")+COUNTIF(H17:I17,N21)+COUNTIF(H17:I17,"*,"&amp;N21&amp;",*")+COUNTIF(K17:L17,N21)+COUNTIF(K17:L17,"*,"&amp;N21&amp;",*")+COUNTIF(N17:O17,N21)+COUNTIF(N17:O17,"*,"&amp;N21&amp;",*"))</f>
        <v/>
      </c>
      <c r="O24" s="21">
        <f>IF(COUNTIF(B5:C5,O21)+COUNTIF(B5:C5,"*,"&amp;O21&amp;",*")+COUNTIF(E5:F5,O21)+COUNTIF(E5:F5,"*,"&amp;O21&amp;",*")+COUNTIF(H5:I5,O21)+COUNTIF(H5:I5,"*,"&amp;O21&amp;",*")+COUNTIF(K5:L5,O21)+COUNTIF(K5:L5,"*,"&amp;O21&amp;",*")+COUNTIF(N5:O5,O21)+COUNTIF(N5:O5,"*,"&amp;O21&amp;",*")+COUNTIF(B7:C7,O21)+COUNTIF(B7:C7,"*,"&amp;O21&amp;",*")+COUNTIF(E7:F7,O21)+COUNTIF(E7:F7,"*,"&amp;O21&amp;",*")+COUNTIF(H7:I7,O21)+COUNTIF(H7:I7,"*,"&amp;O21&amp;",*")+COUNTIF(K7:L7,O21)+COUNTIF(K7:L7,"*,"&amp;O21&amp;",*")+COUNTIF(N7:O7,O21)+COUNTIF(N7:O7,"*,"&amp;O21&amp;",*")+COUNTIF(B9:C9,O21)+COUNTIF(B9:C9,"*,"&amp;O21&amp;",*")+COUNTIF(E9:F9,O21)+COUNTIF(E9:F9,"*,"&amp;O21&amp;",*")+COUNTIF(H9:I9,O21)+COUNTIF(H9:I9,"*,"&amp;O21&amp;",*")+COUNTIF(K9:L9,O21)+COUNTIF(K9:L9,"*,"&amp;O21&amp;",*")+COUNTIF(N9:O9,O21)+COUNTIF(N9:O9,"*,"&amp;O21&amp;",*")+COUNTIF(B11:C11,O21)+COUNTIF(B11:C11,"*,"&amp;O21&amp;",*")+COUNTIF(E11:F11,O21)+COUNTIF(E11:F11,"*,"&amp;O21&amp;",*")+COUNTIF(H11:I11,O21)+COUNTIF(H11:I11,"*,"&amp;O21&amp;",*")+COUNTIF(K11:L11,O21)+COUNTIF(K11:L11,"*,"&amp;O21&amp;",*")+COUNTIF(N11:O11,O21)+COUNTIF(N11:O11,"*,"&amp;O21&amp;",*")+COUNTIF(B13:C13,O21)+COUNTIF(B13:C13,"*,"&amp;O21&amp;",*")+COUNTIF(E13:F13,O21)+COUNTIF(E13:F13,"*,"&amp;O21&amp;",*")+COUNTIF(H13:I13,O21)+COUNTIF(H13:I13,"*,"&amp;O21&amp;",*")+COUNTIF(K13:L13,O21)+COUNTIF(K13:L13,"*,"&amp;O21&amp;",*")+COUNTIF(N13:O13,O21)+COUNTIF(N13:O13,"*,"&amp;O21&amp;",*")+COUNTIF(B15:C15,O21)+COUNTIF(B15:C15,"*,"&amp;O21&amp;",*")+COUNTIF(E15:F15,O21)+COUNTIF(E15:F15,"*,"&amp;O21&amp;",*")+COUNTIF(H15:I15,O21)+COUNTIF(H15:I15,"*,"&amp;O21&amp;",*")+COUNTIF(K15:L15,O21)+COUNTIF(K15:L15,"*,"&amp;O21&amp;",*")+COUNTIF(N15:O15,O21)+COUNTIF(N15:O15,"*,"&amp;O21&amp;",*")+COUNTIF(B17:C17,O21)+COUNTIF(B17:C17,"*,"&amp;O21&amp;",*")+COUNTIF(E17:F17,O21)+COUNTIF(E17:F17,"*,"&amp;O21&amp;",*")+COUNTIF(H17:I17,O21)+COUNTIF(H17:I17,"*,"&amp;O21&amp;",*")+COUNTIF(K17:L17,O21)+COUNTIF(K17:L17,"*,"&amp;O21&amp;",*")+COUNTIF(N17:O17,O21)+COUNTIF(N17:O17,"*,"&amp;O21&amp;",*")=0,"",COUNTIF(B5:C5,O21)+COUNTIF(B5:C5,"*,"&amp;O21&amp;",*")+COUNTIF(E5:F5,O21)+COUNTIF(E5:F5,"*,"&amp;O21&amp;",*")+COUNTIF(H5:I5,O21)+COUNTIF(H5:I5,"*,"&amp;O21&amp;",*")+COUNTIF(K5:L5,O21)+COUNTIF(K5:L5,"*,"&amp;O21&amp;",*")+COUNTIF(N5:O5,O21)+COUNTIF(N5:O5,"*,"&amp;O21&amp;",*")+COUNTIF(B7:C7,O21)+COUNTIF(B7:C7,"*,"&amp;O21&amp;",*")+COUNTIF(E7:F7,O21)+COUNTIF(E7:F7,"*,"&amp;O21&amp;",*")+COUNTIF(H7:I7,O21)+COUNTIF(H7:I7,"*,"&amp;O21&amp;",*")+COUNTIF(K7:L7,O21)+COUNTIF(K7:L7,"*,"&amp;O21&amp;",*")+COUNTIF(N7:O7,O21)+COUNTIF(N7:O7,"*,"&amp;O21&amp;",*")+COUNTIF(B9:C9,O21)+COUNTIF(B9:C9,"*,"&amp;O21&amp;",*")+COUNTIF(E9:F9,O21)+COUNTIF(E9:F9,"*,"&amp;O21&amp;",*")+COUNTIF(H9:I9,O21)+COUNTIF(H9:I9,"*,"&amp;O21&amp;",*")+COUNTIF(K9:L9,O21)+COUNTIF(K9:L9,"*,"&amp;O21&amp;",*")+COUNTIF(N9:O9,O21)+COUNTIF(N9:O9,"*,"&amp;O21&amp;",*")+COUNTIF(B11:C11,O21)+COUNTIF(B11:C11,"*,"&amp;O21&amp;",*")+COUNTIF(E11:F11,O21)+COUNTIF(E11:F11,"*,"&amp;O21&amp;",*")+COUNTIF(H11:I11,O21)+COUNTIF(H11:I11,"*,"&amp;O21&amp;",*")+COUNTIF(K11:L11,O21)+COUNTIF(K11:L11,"*,"&amp;O21&amp;",*")+COUNTIF(N11:O11,O21)+COUNTIF(N11:O11,"*,"&amp;O21&amp;",*")+COUNTIF(B13:C13,O21)+COUNTIF(B13:C13,"*,"&amp;O21&amp;",*")+COUNTIF(E13:F13,O21)+COUNTIF(E13:F13,"*,"&amp;O21&amp;",*")+COUNTIF(H13:I13,O21)+COUNTIF(H13:I13,"*,"&amp;O21&amp;",*")+COUNTIF(K13:L13,O21)+COUNTIF(K13:L13,"*,"&amp;O21&amp;",*")+COUNTIF(N13:O13,O21)+COUNTIF(N13:O13,"*,"&amp;O21&amp;",*")+COUNTIF(B15:C15,O21)+COUNTIF(B15:C15,"*,"&amp;O21&amp;",*")+COUNTIF(E15:F15,O21)+COUNTIF(E15:F15,"*,"&amp;O21&amp;",*")+COUNTIF(H15:I15,O21)+COUNTIF(H15:I15,"*,"&amp;O21&amp;",*")+COUNTIF(K15:L15,O21)+COUNTIF(K15:L15,"*,"&amp;O21&amp;",*")+COUNTIF(N15:O15,O21)+COUNTIF(N15:O15,"*,"&amp;O21&amp;",*")+COUNTIF(B17:C17,O21)+COUNTIF(B17:C17,"*,"&amp;O21&amp;",*")+COUNTIF(E17:F17,O21)+COUNTIF(E17:F17,"*,"&amp;O21&amp;",*")+COUNTIF(H17:I17,O21)+COUNTIF(H17:I17,"*,"&amp;O21&amp;",*")+COUNTIF(K17:L17,O21)+COUNTIF(K17:L17,"*,"&amp;O21&amp;",*")+COUNTIF(N17:O17,O21)+COUNTIF(N17:O17,"*,"&amp;O21&amp;",*"))</f>
        <v/>
      </c>
      <c r="P24" s="22">
        <f>IF(SUM(B24:O24)=0,"",SUM(B24:O24))</f>
        <v/>
      </c>
    </row>
    <row r="25" spans="1:16" ht="13.5" customHeight="1" x14ac:dyDescent="0.2">
      <c r="A25" s="23" t="s">
        <v>52</v>
      </c>
      <c r="B25" s="26"/>
      <c r="C25" s="26"/>
      <c r="D25" s="26"/>
      <c r="E25" s="26"/>
      <c r="F25" s="26"/>
      <c r="G25" s="26"/>
      <c r="H25" s="26"/>
      <c r="I25" s="26"/>
      <c r="J25" s="26"/>
      <c r="K25" s="26"/>
      <c r="L25" s="26"/>
      <c r="M25" s="26"/>
      <c r="N25" s="26"/>
      <c r="O25" s="24"/>
      <c r="P25" s="18">
        <f>IF(SUM(B25:O25)=0,"",SUM(B25:O25))</f>
        <v/>
      </c>
    </row>
  </sheetData>
  <sheetProtection sheet="1" objects="1" scenarios="1"/>
  <mergeCells count="104">
    <mergeCell ref="A1:G1"/>
    <mergeCell ref="I1:J1"/>
    <mergeCell ref="K1:L1"/>
    <mergeCell ref="M1:N1"/>
    <mergeCell ref="O1:P1"/>
    <mergeCell ref="A2:A3"/>
    <mergeCell ref="B2:D2"/>
    <mergeCell ref="E2:G2"/>
    <mergeCell ref="H2:J2"/>
    <mergeCell ref="K2:M2"/>
    <mergeCell ref="A5:A6"/>
    <mergeCell ref="B5:C5"/>
    <mergeCell ref="E5:F5"/>
    <mergeCell ref="H5:I5"/>
    <mergeCell ref="K5:L5"/>
    <mergeCell ref="N2:P2"/>
    <mergeCell ref="B3:D3"/>
    <mergeCell ref="E3:G3"/>
    <mergeCell ref="H3:J3"/>
    <mergeCell ref="K3:M3"/>
    <mergeCell ref="N3:P3"/>
    <mergeCell ref="N5:O5"/>
    <mergeCell ref="B6:D6"/>
    <mergeCell ref="E6:G6"/>
    <mergeCell ref="H6:J6"/>
    <mergeCell ref="K6:M6"/>
    <mergeCell ref="N6:P6"/>
    <mergeCell ref="B4:D4"/>
    <mergeCell ref="E4:G4"/>
    <mergeCell ref="H4:J4"/>
    <mergeCell ref="K4:M4"/>
    <mergeCell ref="N4:P4"/>
    <mergeCell ref="N8:P8"/>
    <mergeCell ref="A9:A10"/>
    <mergeCell ref="B9:C9"/>
    <mergeCell ref="E9:F9"/>
    <mergeCell ref="H9:I9"/>
    <mergeCell ref="K9:L9"/>
    <mergeCell ref="N9:O9"/>
    <mergeCell ref="B10:D10"/>
    <mergeCell ref="E10:G10"/>
    <mergeCell ref="H10:J10"/>
    <mergeCell ref="A7:A8"/>
    <mergeCell ref="B7:C7"/>
    <mergeCell ref="E7:F7"/>
    <mergeCell ref="H7:I7"/>
    <mergeCell ref="K7:L7"/>
    <mergeCell ref="N7:O7"/>
    <mergeCell ref="B8:D8"/>
    <mergeCell ref="E8:G8"/>
    <mergeCell ref="H8:J8"/>
    <mergeCell ref="K8:M8"/>
    <mergeCell ref="K10:M10"/>
    <mergeCell ref="N10:P10"/>
    <mergeCell ref="A11:A12"/>
    <mergeCell ref="B11:C11"/>
    <mergeCell ref="E11:F11"/>
    <mergeCell ref="H11:I11"/>
    <mergeCell ref="K11:L11"/>
    <mergeCell ref="N11:O11"/>
    <mergeCell ref="B12:D12"/>
    <mergeCell ref="E12:G12"/>
    <mergeCell ref="H12:J12"/>
    <mergeCell ref="K12:M12"/>
    <mergeCell ref="N12:P12"/>
    <mergeCell ref="A13:A14"/>
    <mergeCell ref="B13:C13"/>
    <mergeCell ref="E13:F13"/>
    <mergeCell ref="H13:I13"/>
    <mergeCell ref="K13:L13"/>
    <mergeCell ref="N13:O13"/>
    <mergeCell ref="B14:D14"/>
    <mergeCell ref="E14:G14"/>
    <mergeCell ref="H14:J14"/>
    <mergeCell ref="K14:M14"/>
    <mergeCell ref="N14:P14"/>
    <mergeCell ref="A15:A16"/>
    <mergeCell ref="B15:C15"/>
    <mergeCell ref="E15:F15"/>
    <mergeCell ref="H15:I15"/>
    <mergeCell ref="K15:L15"/>
    <mergeCell ref="N15:O15"/>
    <mergeCell ref="B16:D16"/>
    <mergeCell ref="E16:G16"/>
    <mergeCell ref="H16:J16"/>
    <mergeCell ref="K16:M16"/>
    <mergeCell ref="N16:P16"/>
    <mergeCell ref="N19:P19"/>
    <mergeCell ref="A23:A24"/>
    <mergeCell ref="N17:O17"/>
    <mergeCell ref="B18:D18"/>
    <mergeCell ref="E18:G18"/>
    <mergeCell ref="H18:J18"/>
    <mergeCell ref="K18:M18"/>
    <mergeCell ref="N18:P18"/>
    <mergeCell ref="A17:A18"/>
    <mergeCell ref="B17:C17"/>
    <mergeCell ref="E17:F17"/>
    <mergeCell ref="H17:I17"/>
    <mergeCell ref="K17:L17"/>
    <mergeCell ref="B19:D19"/>
    <mergeCell ref="E19:G19"/>
    <mergeCell ref="H19:J19"/>
    <mergeCell ref="K19:M19"/>
  </mergeCells>
  <phoneticPr fontId="5"/>
  <dataValidations count="1">
    <dataValidation type="list" allowBlank="1" showInputMessage="1" sqref="D5 P17 M17 J17 G17 D17 P15 M15 J15 G15 D15 P13 M13 J13 G13 D13 P11 M11 J11 G11 D11 P9 M9 J9 G9 D9 P7 M7 J7 G7 D7 P5 M5 J5 G5" xr:uid="{F65D9139-6DDA-424B-8FDF-4DB670564AC3}">
      <formula1>"×,月1,月2,月3,月4,月5,月6,月7,火1,火2,火3,火4,火5,火6,火7,水1,水2,水3,水4,水5,水6,水7,木1,木2,木3,木4,木5,木6,木7,金1,金2,金3,金4,金5,金6,金7"</formula1>
    </dataValidation>
  </dataValidations>
  <printOptions horizontalCentered="1"/>
  <pageMargins left="0.78740157480314965" right="0.78740157480314965" top="0.78740157480314965" bottom="0.78740157480314965" header="0" footer="0"/>
  <pageSetup paperSize="9" scale="93"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tn_0">
              <controlPr defaultSize="0" print="0" autoFill="0" autoPict="0" macro="[0]!ボタン_新しい週">
                <anchor moveWithCells="1" sizeWithCells="1">
                  <from>
                    <xdr:col>17</xdr:col>
                    <xdr:colOff>68580</xdr:colOff>
                    <xdr:row>3</xdr:row>
                    <xdr:rowOff>45720</xdr:rowOff>
                  </from>
                  <to>
                    <xdr:col>18</xdr:col>
                    <xdr:colOff>601980</xdr:colOff>
                    <xdr:row>3</xdr:row>
                    <xdr:rowOff>350520</xdr:rowOff>
                  </to>
                </anchor>
              </controlPr>
            </control>
          </mc:Choice>
        </mc:AlternateContent>
        <mc:AlternateContent xmlns:mc="http://schemas.openxmlformats.org/markup-compatibility/2006">
          <mc:Choice Requires="x14">
            <control shapeId="4098" r:id="rId5" name="Btn_1">
              <controlPr defaultSize="0" print="0" autoFill="0" autoPict="0" macro="[0]!ボタン_時間割展開">
                <anchor moveWithCells="1" sizeWithCells="1">
                  <from>
                    <xdr:col>17</xdr:col>
                    <xdr:colOff>68580</xdr:colOff>
                    <xdr:row>3</xdr:row>
                    <xdr:rowOff>449580</xdr:rowOff>
                  </from>
                  <to>
                    <xdr:col>18</xdr:col>
                    <xdr:colOff>601980</xdr:colOff>
                    <xdr:row>4</xdr:row>
                    <xdr:rowOff>60960</xdr:rowOff>
                  </to>
                </anchor>
              </controlPr>
            </control>
          </mc:Choice>
        </mc:AlternateContent>
        <mc:AlternateContent xmlns:mc="http://schemas.openxmlformats.org/markup-compatibility/2006">
          <mc:Choice Requires="x14">
            <control shapeId="4099" r:id="rId6" name="Btn_2">
              <controlPr defaultSize="0" print="0" autoFill="0" autoPict="0" macro="[0]!ボタン_累計更新">
                <anchor moveWithCells="1" sizeWithCells="1">
                  <from>
                    <xdr:col>17</xdr:col>
                    <xdr:colOff>68580</xdr:colOff>
                    <xdr:row>4</xdr:row>
                    <xdr:rowOff>160020</xdr:rowOff>
                  </from>
                  <to>
                    <xdr:col>18</xdr:col>
                    <xdr:colOff>601980</xdr:colOff>
                    <xdr:row>5</xdr:row>
                    <xdr:rowOff>236220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xr:uid="{93967845-87A5-4AF7-9597-BCF6AD14B4AE}">
          <x14:formula1>
            <xm:f>基本設定!$B$6:$B$20</xm:f>
          </x14:formula1>
          <xm:sqref>N19 K19 H19 E19 B19 N17 K17 H17 E17 B17 N15 K15 H15 E15 B15 N13 K13 H13 E13 B13 N11 K11 H11 E11 B11 N9 K9 H9 E9 B9 N7 K7 H7 E7 B7 N5 K5 H5 E5 B5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9970F8-8D44-4994-87F7-9BF8439AD105}">
  <sheetPr codeName="Sheet6">
    <tabColor rgb="FFC0392B"/>
    <pageSetUpPr fitToPage="1"/>
  </sheetPr>
  <dimension ref="A1:P25"/>
  <sheetViews>
    <sheetView topLeftCell="A12" workbookViewId="0">
      <selection activeCell="R14" sqref="R14"/>
    </sheetView>
  </sheetViews>
  <sheetFormatPr defaultColWidth="8.77734375" defaultRowHeight="13.2" x14ac:dyDescent="0.2"/>
  <cols>
    <col min="1" max="1" width="5.44140625" customWidth="1"/>
    <col min="2" max="16" width="5.77734375" customWidth="1"/>
  </cols>
  <sheetData>
    <row r="1" spans="1:16" ht="50.1" customHeight="1" x14ac:dyDescent="0.2">
      <c r="A1" s="51" t="s">
        <v>34</v>
      </c>
      <c r="B1" s="52"/>
      <c r="C1" s="52"/>
      <c r="D1" s="52"/>
      <c r="E1" s="52"/>
      <c r="F1" s="52"/>
      <c r="G1" s="52"/>
      <c r="H1" s="8" t="s">
        <v>35</v>
      </c>
      <c r="I1" s="53" t="s">
        <v>36</v>
      </c>
      <c r="J1" s="54"/>
      <c r="K1" s="53" t="s">
        <v>37</v>
      </c>
      <c r="L1" s="54"/>
      <c r="M1" s="53" t="s">
        <v>38</v>
      </c>
      <c r="N1" s="54"/>
      <c r="O1" s="53" t="s">
        <v>39</v>
      </c>
      <c r="P1" s="54"/>
    </row>
    <row r="2" spans="1:16" ht="15.6" customHeight="1" x14ac:dyDescent="0.2">
      <c r="A2" s="55" t="s">
        <v>40</v>
      </c>
      <c r="B2" s="57" t="s">
        <v>29</v>
      </c>
      <c r="C2" s="57"/>
      <c r="D2" s="57"/>
      <c r="E2" s="59" t="s">
        <v>30</v>
      </c>
      <c r="F2" s="59"/>
      <c r="G2" s="59"/>
      <c r="H2" s="45" t="s">
        <v>31</v>
      </c>
      <c r="I2" s="45"/>
      <c r="J2" s="45"/>
      <c r="K2" s="47" t="s">
        <v>32</v>
      </c>
      <c r="L2" s="47"/>
      <c r="M2" s="47"/>
      <c r="N2" s="49" t="s">
        <v>33</v>
      </c>
      <c r="O2" s="49"/>
      <c r="P2" s="49"/>
    </row>
    <row r="3" spans="1:16" ht="15" customHeight="1" x14ac:dyDescent="0.2">
      <c r="A3" s="56"/>
      <c r="B3" s="58" t="s">
        <v>41</v>
      </c>
      <c r="C3" s="58"/>
      <c r="D3" s="58"/>
      <c r="E3" s="60" t="s">
        <v>42</v>
      </c>
      <c r="F3" s="60"/>
      <c r="G3" s="60"/>
      <c r="H3" s="46" t="s">
        <v>43</v>
      </c>
      <c r="I3" s="46"/>
      <c r="J3" s="46"/>
      <c r="K3" s="48" t="s">
        <v>44</v>
      </c>
      <c r="L3" s="48"/>
      <c r="M3" s="48"/>
      <c r="N3" s="50" t="s">
        <v>45</v>
      </c>
      <c r="O3" s="50"/>
      <c r="P3" s="50"/>
    </row>
    <row r="4" spans="1:16" ht="54.9" customHeight="1" x14ac:dyDescent="0.2">
      <c r="A4" s="9" t="s">
        <v>46</v>
      </c>
      <c r="B4" s="40"/>
      <c r="C4" s="40"/>
      <c r="D4" s="40"/>
      <c r="E4" s="41"/>
      <c r="F4" s="41"/>
      <c r="G4" s="41"/>
      <c r="H4" s="42"/>
      <c r="I4" s="42"/>
      <c r="J4" s="42"/>
      <c r="K4" s="43"/>
      <c r="L4" s="43"/>
      <c r="M4" s="43"/>
      <c r="N4" s="44"/>
      <c r="O4" s="44"/>
      <c r="P4" s="44"/>
    </row>
    <row r="5" spans="1:16" ht="18" customHeight="1" x14ac:dyDescent="0.2">
      <c r="A5" s="39">
        <v>1</v>
      </c>
      <c r="B5" s="37"/>
      <c r="C5" s="37"/>
      <c r="D5" s="25"/>
      <c r="E5" s="37"/>
      <c r="F5" s="37"/>
      <c r="G5" s="25"/>
      <c r="H5" s="37"/>
      <c r="I5" s="37"/>
      <c r="J5" s="25"/>
      <c r="K5" s="37"/>
      <c r="L5" s="37"/>
      <c r="M5" s="25"/>
      <c r="N5" s="37"/>
      <c r="O5" s="37"/>
      <c r="P5" s="25"/>
    </row>
    <row r="6" spans="1:16" ht="62.1" customHeight="1" x14ac:dyDescent="0.2">
      <c r="A6" s="39"/>
      <c r="B6" s="38"/>
      <c r="C6" s="38"/>
      <c r="D6" s="38"/>
      <c r="E6" s="38"/>
      <c r="F6" s="38"/>
      <c r="G6" s="38"/>
      <c r="H6" s="38"/>
      <c r="I6" s="38"/>
      <c r="J6" s="38"/>
      <c r="K6" s="38"/>
      <c r="L6" s="38"/>
      <c r="M6" s="38"/>
      <c r="N6" s="38"/>
      <c r="O6" s="38"/>
      <c r="P6" s="38"/>
    </row>
    <row r="7" spans="1:16" ht="18" customHeight="1" x14ac:dyDescent="0.2">
      <c r="A7" s="39">
        <v>2</v>
      </c>
      <c r="B7" s="37"/>
      <c r="C7" s="37"/>
      <c r="D7" s="25"/>
      <c r="E7" s="37"/>
      <c r="F7" s="37"/>
      <c r="G7" s="25"/>
      <c r="H7" s="37"/>
      <c r="I7" s="37"/>
      <c r="J7" s="25"/>
      <c r="K7" s="37"/>
      <c r="L7" s="37"/>
      <c r="M7" s="25"/>
      <c r="N7" s="37"/>
      <c r="O7" s="37"/>
      <c r="P7" s="25"/>
    </row>
    <row r="8" spans="1:16" ht="62.1" customHeight="1" x14ac:dyDescent="0.2">
      <c r="A8" s="39"/>
      <c r="B8" s="38"/>
      <c r="C8" s="38"/>
      <c r="D8" s="38"/>
      <c r="E8" s="38"/>
      <c r="F8" s="38"/>
      <c r="G8" s="38"/>
      <c r="H8" s="38"/>
      <c r="I8" s="38"/>
      <c r="J8" s="38"/>
      <c r="K8" s="38"/>
      <c r="L8" s="38"/>
      <c r="M8" s="38"/>
      <c r="N8" s="38"/>
      <c r="O8" s="38"/>
      <c r="P8" s="38"/>
    </row>
    <row r="9" spans="1:16" ht="18" customHeight="1" x14ac:dyDescent="0.2">
      <c r="A9" s="39">
        <v>3</v>
      </c>
      <c r="B9" s="37"/>
      <c r="C9" s="37"/>
      <c r="D9" s="25"/>
      <c r="E9" s="37"/>
      <c r="F9" s="37"/>
      <c r="G9" s="25"/>
      <c r="H9" s="37"/>
      <c r="I9" s="37"/>
      <c r="J9" s="25"/>
      <c r="K9" s="37"/>
      <c r="L9" s="37"/>
      <c r="M9" s="25"/>
      <c r="N9" s="37"/>
      <c r="O9" s="37"/>
      <c r="P9" s="25"/>
    </row>
    <row r="10" spans="1:16" ht="62.1" customHeight="1" x14ac:dyDescent="0.2">
      <c r="A10" s="39"/>
      <c r="B10" s="38"/>
      <c r="C10" s="38"/>
      <c r="D10" s="38"/>
      <c r="E10" s="38"/>
      <c r="F10" s="38"/>
      <c r="G10" s="38"/>
      <c r="H10" s="38"/>
      <c r="I10" s="38"/>
      <c r="J10" s="38"/>
      <c r="K10" s="38"/>
      <c r="L10" s="38"/>
      <c r="M10" s="38"/>
      <c r="N10" s="38"/>
      <c r="O10" s="38"/>
      <c r="P10" s="38"/>
    </row>
    <row r="11" spans="1:16" ht="18" customHeight="1" x14ac:dyDescent="0.2">
      <c r="A11" s="39">
        <v>4</v>
      </c>
      <c r="B11" s="37"/>
      <c r="C11" s="37"/>
      <c r="D11" s="25"/>
      <c r="E11" s="37"/>
      <c r="F11" s="37"/>
      <c r="G11" s="25"/>
      <c r="H11" s="37"/>
      <c r="I11" s="37"/>
      <c r="J11" s="25"/>
      <c r="K11" s="37"/>
      <c r="L11" s="37"/>
      <c r="M11" s="25"/>
      <c r="N11" s="37"/>
      <c r="O11" s="37"/>
      <c r="P11" s="25"/>
    </row>
    <row r="12" spans="1:16" ht="62.1" customHeight="1" x14ac:dyDescent="0.2">
      <c r="A12" s="39"/>
      <c r="B12" s="38"/>
      <c r="C12" s="38"/>
      <c r="D12" s="38"/>
      <c r="E12" s="38"/>
      <c r="F12" s="38"/>
      <c r="G12" s="38"/>
      <c r="H12" s="38"/>
      <c r="I12" s="38"/>
      <c r="J12" s="38"/>
      <c r="K12" s="38"/>
      <c r="L12" s="38"/>
      <c r="M12" s="38"/>
      <c r="N12" s="38"/>
      <c r="O12" s="38"/>
      <c r="P12" s="38"/>
    </row>
    <row r="13" spans="1:16" ht="18" customHeight="1" x14ac:dyDescent="0.2">
      <c r="A13" s="39">
        <v>5</v>
      </c>
      <c r="B13" s="37"/>
      <c r="C13" s="37"/>
      <c r="D13" s="25"/>
      <c r="E13" s="37"/>
      <c r="F13" s="37"/>
      <c r="G13" s="25"/>
      <c r="H13" s="37"/>
      <c r="I13" s="37"/>
      <c r="J13" s="25"/>
      <c r="K13" s="37"/>
      <c r="L13" s="37"/>
      <c r="M13" s="25"/>
      <c r="N13" s="37"/>
      <c r="O13" s="37"/>
      <c r="P13" s="25"/>
    </row>
    <row r="14" spans="1:16" ht="62.1" customHeight="1" x14ac:dyDescent="0.2">
      <c r="A14" s="39"/>
      <c r="B14" s="38"/>
      <c r="C14" s="38"/>
      <c r="D14" s="38"/>
      <c r="E14" s="38"/>
      <c r="F14" s="38"/>
      <c r="G14" s="38"/>
      <c r="H14" s="38"/>
      <c r="I14" s="38"/>
      <c r="J14" s="38"/>
      <c r="K14" s="38"/>
      <c r="L14" s="38"/>
      <c r="M14" s="38"/>
      <c r="N14" s="38"/>
      <c r="O14" s="38"/>
      <c r="P14" s="38"/>
    </row>
    <row r="15" spans="1:16" ht="18" customHeight="1" x14ac:dyDescent="0.2">
      <c r="A15" s="39">
        <v>6</v>
      </c>
      <c r="B15" s="37"/>
      <c r="C15" s="37"/>
      <c r="D15" s="25"/>
      <c r="E15" s="37"/>
      <c r="F15" s="37"/>
      <c r="G15" s="25"/>
      <c r="H15" s="37"/>
      <c r="I15" s="37"/>
      <c r="J15" s="25"/>
      <c r="K15" s="37"/>
      <c r="L15" s="37"/>
      <c r="M15" s="25"/>
      <c r="N15" s="37"/>
      <c r="O15" s="37"/>
      <c r="P15" s="25"/>
    </row>
    <row r="16" spans="1:16" ht="62.1" customHeight="1" x14ac:dyDescent="0.2">
      <c r="A16" s="39"/>
      <c r="B16" s="38"/>
      <c r="C16" s="38"/>
      <c r="D16" s="38"/>
      <c r="E16" s="38"/>
      <c r="F16" s="38"/>
      <c r="G16" s="38"/>
      <c r="H16" s="38"/>
      <c r="I16" s="38"/>
      <c r="J16" s="38"/>
      <c r="K16" s="38"/>
      <c r="L16" s="38"/>
      <c r="M16" s="38"/>
      <c r="N16" s="38"/>
      <c r="O16" s="38"/>
      <c r="P16" s="38"/>
    </row>
    <row r="17" spans="1:16" ht="18" customHeight="1" x14ac:dyDescent="0.2">
      <c r="A17" s="39">
        <v>7</v>
      </c>
      <c r="B17" s="37"/>
      <c r="C17" s="37"/>
      <c r="D17" s="25"/>
      <c r="E17" s="37"/>
      <c r="F17" s="37"/>
      <c r="G17" s="25"/>
      <c r="H17" s="37"/>
      <c r="I17" s="37"/>
      <c r="J17" s="25"/>
      <c r="K17" s="37"/>
      <c r="L17" s="37"/>
      <c r="M17" s="25"/>
      <c r="N17" s="37"/>
      <c r="O17" s="37"/>
      <c r="P17" s="25"/>
    </row>
    <row r="18" spans="1:16" ht="62.1" customHeight="1" x14ac:dyDescent="0.2">
      <c r="A18" s="39"/>
      <c r="B18" s="38"/>
      <c r="C18" s="38"/>
      <c r="D18" s="38"/>
      <c r="E18" s="38"/>
      <c r="F18" s="38"/>
      <c r="G18" s="38"/>
      <c r="H18" s="38"/>
      <c r="I18" s="38"/>
      <c r="J18" s="38"/>
      <c r="K18" s="38"/>
      <c r="L18" s="38"/>
      <c r="M18" s="38"/>
      <c r="N18" s="38"/>
      <c r="O18" s="38"/>
      <c r="P18" s="38"/>
    </row>
    <row r="19" spans="1:16" ht="54.9" customHeight="1" x14ac:dyDescent="0.2">
      <c r="A19" s="10" t="s">
        <v>47</v>
      </c>
      <c r="B19" s="34"/>
      <c r="C19" s="34"/>
      <c r="D19" s="34"/>
      <c r="E19" s="34"/>
      <c r="F19" s="34"/>
      <c r="G19" s="34"/>
      <c r="H19" s="34"/>
      <c r="I19" s="34"/>
      <c r="J19" s="34"/>
      <c r="K19" s="34"/>
      <c r="L19" s="34"/>
      <c r="M19" s="34"/>
      <c r="N19" s="34"/>
      <c r="O19" s="34"/>
      <c r="P19" s="34"/>
    </row>
    <row r="20" spans="1:16" hidden="1" x14ac:dyDescent="0.2">
      <c r="A20" s="11"/>
      <c r="B20" s="11"/>
      <c r="C20" s="11"/>
      <c r="D20" s="11"/>
      <c r="E20" s="11"/>
      <c r="F20" s="11"/>
      <c r="G20" s="11"/>
      <c r="H20" s="11"/>
      <c r="I20" s="11"/>
      <c r="J20" s="11"/>
      <c r="K20" s="11"/>
      <c r="L20" s="11"/>
      <c r="M20" s="11"/>
      <c r="N20" s="11"/>
      <c r="O20" s="11"/>
      <c r="P20" s="11"/>
    </row>
    <row r="21" spans="1:16" ht="13.5" customHeight="1" x14ac:dyDescent="0.2">
      <c r="A21" s="12" t="s">
        <v>48</v>
      </c>
      <c r="B21" s="12">
        <f>IF(基本設定!B6="","",基本設定!B6)</f>
      </c>
      <c r="C21" s="12">
        <f>IF(基本設定!B7="","",基本設定!B7)</f>
      </c>
      <c r="D21" s="12">
        <f>IF(基本設定!B8="","",基本設定!B8)</f>
      </c>
      <c r="E21" s="12">
        <f>IF(基本設定!B9="","",基本設定!B9)</f>
      </c>
      <c r="F21" s="12">
        <f>IF(基本設定!B10="","",基本設定!B10)</f>
      </c>
      <c r="G21" s="12">
        <f>IF(基本設定!B11="","",基本設定!B11)</f>
      </c>
      <c r="H21" s="12"/>
      <c r="I21" s="12"/>
      <c r="J21" s="12"/>
      <c r="K21" s="12"/>
      <c r="L21" s="12"/>
      <c r="M21" s="13" t="s">
        <v>53</v>
      </c>
      <c r="N21" s="12" t="s">
        <v>20</v>
      </c>
      <c r="O21" s="12" t="s">
        <v>22</v>
      </c>
      <c r="P21" s="14" t="s">
        <v>49</v>
      </c>
    </row>
    <row r="22" spans="1:16" ht="13.5" customHeight="1" x14ac:dyDescent="0.2">
      <c r="A22" s="15" t="s">
        <v>50</v>
      </c>
      <c r="B22" s="16">
        <f>IF(B21="","",IFERROR(VALUE(VLOOKUP(B21,基本設定!$A$23:$B$35,2,FALSE())),""))</f>
      </c>
      <c r="C22" s="16">
        <f>IF(C21="","",IFERROR(VALUE(VLOOKUP(C21,基本設定!$A$23:$B$35,2,FALSE())),""))</f>
      </c>
      <c r="D22" s="16">
        <f>IF(D21="","",IFERROR(VALUE(VLOOKUP(D21,基本設定!$A$23:$B$35,2,FALSE())),""))</f>
      </c>
      <c r="E22" s="16">
        <f>IF(E21="","",IFERROR(VALUE(VLOOKUP(E21,基本設定!$A$23:$B$35,2,FALSE())),""))</f>
      </c>
      <c r="F22" s="16">
        <f>IF(F21="","",IFERROR(VALUE(VLOOKUP(F21,基本設定!$A$23:$B$35,2,FALSE())),""))</f>
      </c>
      <c r="G22" s="16">
        <f>IF(G21="","",IFERROR(VALUE(VLOOKUP(G21,基本設定!$A$23:$B$35,2,FALSE())),""))</f>
      </c>
      <c r="H22" s="17"/>
      <c r="I22" s="17"/>
      <c r="J22" s="17"/>
      <c r="K22" s="17"/>
      <c r="L22" s="17"/>
      <c r="M22" s="17">
        <v>1</v>
      </c>
      <c r="N22" s="17">
        <f>IF(N21="","",IFERROR(VALUE(VLOOKUP(N21,基本設定!$A$23:$B$35,2,FALSE())),""))</f>
      </c>
      <c r="O22" s="17">
        <f>IF(O21="","",IFERROR(VALUE(VLOOKUP(O21,基本設定!$A$23:$B$35,2,FALSE())),""))</f>
      </c>
      <c r="P22" s="18">
        <f>IF(SUM(B22:O22)=0,"",SUM(B22:O22))</f>
      </c>
    </row>
    <row r="23" spans="1:16" ht="13.5" customHeight="1" x14ac:dyDescent="0.2">
      <c r="A23" s="35" t="s">
        <v>51</v>
      </c>
      <c r="B23" s="19">
        <f>IF(B21="","",IF(B24="","",B24-(SUMPRODUCT((B5:C5=B21)*(D5="×"))+SUMPRODUCT((E5:F5=B21)*(G5="×"))+SUMPRODUCT((H5:I5=B21)*(J5="×"))+SUMPRODUCT((K5:L5=B21)*(M5="×"))+SUMPRODUCT((N5:O5=B21)*(P5="×"))+SUMPRODUCT((B7:C7=B21)*(D7="×"))+SUMPRODUCT((E7:F7=B21)*(G7="×"))+SUMPRODUCT((H7:I7=B21)*(J7="×"))+SUMPRODUCT((K7:L7=B21)*(M7="×"))+SUMPRODUCT((N7:O7=B21)*(P7="×"))+SUMPRODUCT((B9:C9=B21)*(D9="×"))+SUMPRODUCT((E9:F9=B21)*(G9="×"))+SUMPRODUCT((H9:I9=B21)*(J9="×"))+SUMPRODUCT((K9:L9=B21)*(M9="×"))+SUMPRODUCT((N9:O9=B21)*(P9="×"))+SUMPRODUCT((B11:C11=B21)*(D11="×"))+SUMPRODUCT((E11:F11=B21)*(G11="×"))+SUMPRODUCT((H11:I11=B21)*(J11="×"))+SUMPRODUCT((K11:L11=B21)*(M11="×"))+SUMPRODUCT((N11:O11=B21)*(P11="×"))+SUMPRODUCT((B13:C13=B21)*(D13="×"))+SUMPRODUCT((E13:F13=B21)*(G13="×"))+SUMPRODUCT((H13:I13=B21)*(J13="×"))+SUMPRODUCT((K13:L13=B21)*(M13="×"))+SUMPRODUCT((N13:O13=B21)*(P13="×"))+SUMPRODUCT((B15:C15=B21)*(D15="×"))+SUMPRODUCT((E15:F15=B21)*(G15="×"))+SUMPRODUCT((H15:I15=B21)*(J15="×"))+SUMPRODUCT((K15:L15=B21)*(M15="×"))+SUMPRODUCT((N15:O15=B21)*(P15="×"))+SUMPRODUCT((B17:C17=B21)*(D17="×"))+SUMPRODUCT((E17:F17=B21)*(G17="×"))+SUMPRODUCT((H17:I17=B21)*(J17="×"))+SUMPRODUCT((K17:L17=B21)*(M17="×"))+SUMPRODUCT((N17:O17=B21)*(P17="×")))))</f>
        <v/>
      </c>
      <c r="C23" s="19">
        <f>IF(C21="","",IF(C24="","",C24-(SUMPRODUCT((B5:C5=C21)*(D5="×"))+SUMPRODUCT((E5:F5=C21)*(G5="×"))+SUMPRODUCT((H5:I5=C21)*(J5="×"))+SUMPRODUCT((K5:L5=C21)*(M5="×"))+SUMPRODUCT((N5:O5=C21)*(P5="×"))+SUMPRODUCT((B7:C7=C21)*(D7="×"))+SUMPRODUCT((E7:F7=C21)*(G7="×"))+SUMPRODUCT((H7:I7=C21)*(J7="×"))+SUMPRODUCT((K7:L7=C21)*(M7="×"))+SUMPRODUCT((N7:O7=C21)*(P7="×"))+SUMPRODUCT((B9:C9=C21)*(D9="×"))+SUMPRODUCT((E9:F9=C21)*(G9="×"))+SUMPRODUCT((H9:I9=C21)*(J9="×"))+SUMPRODUCT((K9:L9=C21)*(M9="×"))+SUMPRODUCT((N9:O9=C21)*(P9="×"))+SUMPRODUCT((B11:C11=C21)*(D11="×"))+SUMPRODUCT((E11:F11=C21)*(G11="×"))+SUMPRODUCT((H11:I11=C21)*(J11="×"))+SUMPRODUCT((K11:L11=C21)*(M11="×"))+SUMPRODUCT((N11:O11=C21)*(P11="×"))+SUMPRODUCT((B13:C13=C21)*(D13="×"))+SUMPRODUCT((E13:F13=C21)*(G13="×"))+SUMPRODUCT((H13:I13=C21)*(J13="×"))+SUMPRODUCT((K13:L13=C21)*(M13="×"))+SUMPRODUCT((N13:O13=C21)*(P13="×"))+SUMPRODUCT((B15:C15=C21)*(D15="×"))+SUMPRODUCT((E15:F15=C21)*(G15="×"))+SUMPRODUCT((H15:I15=C21)*(J15="×"))+SUMPRODUCT((K15:L15=C21)*(M15="×"))+SUMPRODUCT((N15:O15=C21)*(P15="×"))+SUMPRODUCT((B17:C17=C21)*(D17="×"))+SUMPRODUCT((E17:F17=C21)*(G17="×"))+SUMPRODUCT((H17:I17=C21)*(J17="×"))+SUMPRODUCT((K17:L17=C21)*(M17="×"))+SUMPRODUCT((N17:O17=C21)*(P17="×")))))</f>
        <v/>
      </c>
      <c r="D23" s="19">
        <f>IF(D21="","",IF(D24="","",D24-(SUMPRODUCT((B5:C5=D21)*(D5="×"))+SUMPRODUCT((E5:F5=D21)*(G5="×"))+SUMPRODUCT((H5:I5=D21)*(J5="×"))+SUMPRODUCT((K5:L5=D21)*(M5="×"))+SUMPRODUCT((N5:O5=D21)*(P5="×"))+SUMPRODUCT((B7:C7=D21)*(D7="×"))+SUMPRODUCT((E7:F7=D21)*(G7="×"))+SUMPRODUCT((H7:I7=D21)*(J7="×"))+SUMPRODUCT((K7:L7=D21)*(M7="×"))+SUMPRODUCT((N7:O7=D21)*(P7="×"))+SUMPRODUCT((B9:C9=D21)*(D9="×"))+SUMPRODUCT((E9:F9=D21)*(G9="×"))+SUMPRODUCT((H9:I9=D21)*(J9="×"))+SUMPRODUCT((K9:L9=D21)*(M9="×"))+SUMPRODUCT((N9:O9=D21)*(P9="×"))+SUMPRODUCT((B11:C11=D21)*(D11="×"))+SUMPRODUCT((E11:F11=D21)*(G11="×"))+SUMPRODUCT((H11:I11=D21)*(J11="×"))+SUMPRODUCT((K11:L11=D21)*(M11="×"))+SUMPRODUCT((N11:O11=D21)*(P11="×"))+SUMPRODUCT((B13:C13=D21)*(D13="×"))+SUMPRODUCT((E13:F13=D21)*(G13="×"))+SUMPRODUCT((H13:I13=D21)*(J13="×"))+SUMPRODUCT((K13:L13=D21)*(M13="×"))+SUMPRODUCT((N13:O13=D21)*(P13="×"))+SUMPRODUCT((B15:C15=D21)*(D15="×"))+SUMPRODUCT((E15:F15=D21)*(G15="×"))+SUMPRODUCT((H15:I15=D21)*(J15="×"))+SUMPRODUCT((K15:L15=D21)*(M15="×"))+SUMPRODUCT((N15:O15=D21)*(P15="×"))+SUMPRODUCT((B17:C17=D21)*(D17="×"))+SUMPRODUCT((E17:F17=D21)*(G17="×"))+SUMPRODUCT((H17:I17=D21)*(J17="×"))+SUMPRODUCT((K17:L17=D21)*(M17="×"))+SUMPRODUCT((N17:O17=D21)*(P17="×")))))</f>
        <v/>
      </c>
      <c r="E23" s="19">
        <f>IF(E21="","",IF(E24="","",E24-(SUMPRODUCT((B5:C5=E21)*(D5="×"))+SUMPRODUCT((E5:F5=E21)*(G5="×"))+SUMPRODUCT((H5:I5=E21)*(J5="×"))+SUMPRODUCT((K5:L5=E21)*(M5="×"))+SUMPRODUCT((N5:O5=E21)*(P5="×"))+SUMPRODUCT((B7:C7=E21)*(D7="×"))+SUMPRODUCT((E7:F7=E21)*(G7="×"))+SUMPRODUCT((H7:I7=E21)*(J7="×"))+SUMPRODUCT((K7:L7=E21)*(M7="×"))+SUMPRODUCT((N7:O7=E21)*(P7="×"))+SUMPRODUCT((B9:C9=E21)*(D9="×"))+SUMPRODUCT((E9:F9=E21)*(G9="×"))+SUMPRODUCT((H9:I9=E21)*(J9="×"))+SUMPRODUCT((K9:L9=E21)*(M9="×"))+SUMPRODUCT((N9:O9=E21)*(P9="×"))+SUMPRODUCT((B11:C11=E21)*(D11="×"))+SUMPRODUCT((E11:F11=E21)*(G11="×"))+SUMPRODUCT((H11:I11=E21)*(J11="×"))+SUMPRODUCT((K11:L11=E21)*(M11="×"))+SUMPRODUCT((N11:O11=E21)*(P11="×"))+SUMPRODUCT((B13:C13=E21)*(D13="×"))+SUMPRODUCT((E13:F13=E21)*(G13="×"))+SUMPRODUCT((H13:I13=E21)*(J13="×"))+SUMPRODUCT((K13:L13=E21)*(M13="×"))+SUMPRODUCT((N13:O13=E21)*(P13="×"))+SUMPRODUCT((B15:C15=E21)*(D15="×"))+SUMPRODUCT((E15:F15=E21)*(G15="×"))+SUMPRODUCT((H15:I15=E21)*(J15="×"))+SUMPRODUCT((K15:L15=E21)*(M15="×"))+SUMPRODUCT((N15:O15=E21)*(P15="×"))+SUMPRODUCT((B17:C17=E21)*(D17="×"))+SUMPRODUCT((E17:F17=E21)*(G17="×"))+SUMPRODUCT((H17:I17=E21)*(J17="×"))+SUMPRODUCT((K17:L17=E21)*(M17="×"))+SUMPRODUCT((N17:O17=E21)*(P17="×")))))</f>
        <v/>
      </c>
      <c r="F23" s="19">
        <f>IF(F21="","",IF(F24="","",F24-(SUMPRODUCT((B5:C5=F21)*(D5="×"))+SUMPRODUCT((E5:F5=F21)*(G5="×"))+SUMPRODUCT((H5:I5=F21)*(J5="×"))+SUMPRODUCT((K5:L5=F21)*(M5="×"))+SUMPRODUCT((N5:O5=F21)*(P5="×"))+SUMPRODUCT((B7:C7=F21)*(D7="×"))+SUMPRODUCT((E7:F7=F21)*(G7="×"))+SUMPRODUCT((H7:I7=F21)*(J7="×"))+SUMPRODUCT((K7:L7=F21)*(M7="×"))+SUMPRODUCT((N7:O7=F21)*(P7="×"))+SUMPRODUCT((B9:C9=F21)*(D9="×"))+SUMPRODUCT((E9:F9=F21)*(G9="×"))+SUMPRODUCT((H9:I9=F21)*(J9="×"))+SUMPRODUCT((K9:L9=F21)*(M9="×"))+SUMPRODUCT((N9:O9=F21)*(P9="×"))+SUMPRODUCT((B11:C11=F21)*(D11="×"))+SUMPRODUCT((E11:F11=F21)*(G11="×"))+SUMPRODUCT((H11:I11=F21)*(J11="×"))+SUMPRODUCT((K11:L11=F21)*(M11="×"))+SUMPRODUCT((N11:O11=F21)*(P11="×"))+SUMPRODUCT((B13:C13=F21)*(D13="×"))+SUMPRODUCT((E13:F13=F21)*(G13="×"))+SUMPRODUCT((H13:I13=F21)*(J13="×"))+SUMPRODUCT((K13:L13=F21)*(M13="×"))+SUMPRODUCT((N13:O13=F21)*(P13="×"))+SUMPRODUCT((B15:C15=F21)*(D15="×"))+SUMPRODUCT((E15:F15=F21)*(G15="×"))+SUMPRODUCT((H15:I15=F21)*(J15="×"))+SUMPRODUCT((K15:L15=F21)*(M15="×"))+SUMPRODUCT((N15:O15=F21)*(P15="×"))+SUMPRODUCT((B17:C17=F21)*(D17="×"))+SUMPRODUCT((E17:F17=F21)*(G17="×"))+SUMPRODUCT((H17:I17=F21)*(J17="×"))+SUMPRODUCT((K17:L17=F21)*(M17="×"))+SUMPRODUCT((N17:O17=F21)*(P17="×")))))</f>
        <v/>
      </c>
      <c r="G23" s="19">
        <f>IF(G21="","",IF(G24="","",G24-(SUMPRODUCT((B5:C5=G21)*(D5="×"))+SUMPRODUCT((E5:F5=G21)*(G5="×"))+SUMPRODUCT((H5:I5=G21)*(J5="×"))+SUMPRODUCT((K5:L5=G21)*(M5="×"))+SUMPRODUCT((N5:O5=G21)*(P5="×"))+SUMPRODUCT((B7:C7=G21)*(D7="×"))+SUMPRODUCT((E7:F7=G21)*(G7="×"))+SUMPRODUCT((H7:I7=G21)*(J7="×"))+SUMPRODUCT((K7:L7=G21)*(M7="×"))+SUMPRODUCT((N7:O7=G21)*(P7="×"))+SUMPRODUCT((B9:C9=G21)*(D9="×"))+SUMPRODUCT((E9:F9=G21)*(G9="×"))+SUMPRODUCT((H9:I9=G21)*(J9="×"))+SUMPRODUCT((K9:L9=G21)*(M9="×"))+SUMPRODUCT((N9:O9=G21)*(P9="×"))+SUMPRODUCT((B11:C11=G21)*(D11="×"))+SUMPRODUCT((E11:F11=G21)*(G11="×"))+SUMPRODUCT((H11:I11=G21)*(J11="×"))+SUMPRODUCT((K11:L11=G21)*(M11="×"))+SUMPRODUCT((N11:O11=G21)*(P11="×"))+SUMPRODUCT((B13:C13=G21)*(D13="×"))+SUMPRODUCT((E13:F13=G21)*(G13="×"))+SUMPRODUCT((H13:I13=G21)*(J13="×"))+SUMPRODUCT((K13:L13=G21)*(M13="×"))+SUMPRODUCT((N13:O13=G21)*(P13="×"))+SUMPRODUCT((B15:C15=G21)*(D15="×"))+SUMPRODUCT((E15:F15=G21)*(G15="×"))+SUMPRODUCT((H15:I15=G21)*(J15="×"))+SUMPRODUCT((K15:L15=G21)*(M15="×"))+SUMPRODUCT((N15:O15=G21)*(P15="×"))+SUMPRODUCT((B17:C17=G21)*(D17="×"))+SUMPRODUCT((E17:F17=G21)*(G17="×"))+SUMPRODUCT((H17:I17=G21)*(J17="×"))+SUMPRODUCT((K17:L17=G21)*(M17="×"))+SUMPRODUCT((N17:O17=G21)*(P17="×")))))</f>
        <v/>
      </c>
      <c r="H23" s="19"/>
      <c r="I23" s="19"/>
      <c r="J23" s="19"/>
      <c r="K23" s="19"/>
      <c r="L23" s="19"/>
      <c r="M23" s="19">
        <f>IF(M24="","",M24-(SUMPRODUCT((B5:C5="特活")*(D5="×"))+SUMPRODUCT((B5:C5="学活")*(D5="×"))+SUMPRODUCT((E5:F5="特活")*(G5="×"))+SUMPRODUCT((E5:F5="学活")*(G5="×"))+SUMPRODUCT((H5:I5="特活")*(J5="×"))+SUMPRODUCT((H5:I5="学活")*(J5="×"))+SUMPRODUCT((K5:L5="特活")*(M5="×"))+SUMPRODUCT((K5:L5="学活")*(M5="×"))+SUMPRODUCT((N5:O5="特活")*(P5="×"))+SUMPRODUCT((N5:O5="学活")*(P5="×"))+SUMPRODUCT((B7:C7="特活")*(D7="×"))+SUMPRODUCT((B7:C7="学活")*(D7="×"))+SUMPRODUCT((E7:F7="特活")*(G7="×"))+SUMPRODUCT((E7:F7="学活")*(G7="×"))+SUMPRODUCT((H7:I7="特活")*(J7="×"))+SUMPRODUCT((H7:I7="学活")*(J7="×"))+SUMPRODUCT((K7:L7="特活")*(M7="×"))+SUMPRODUCT((K7:L7="学活")*(M7="×"))+SUMPRODUCT((N7:O7="特活")*(P7="×"))+SUMPRODUCT((N7:O7="学活")*(P7="×"))+SUMPRODUCT((B9:C9="特活")*(D9="×"))+SUMPRODUCT((B9:C9="学活")*(D9="×"))+SUMPRODUCT((E9:F9="特活")*(G9="×"))+SUMPRODUCT((E9:F9="学活")*(G9="×"))+SUMPRODUCT((H9:I9="特活")*(J9="×"))+SUMPRODUCT((H9:I9="学活")*(J9="×"))+SUMPRODUCT((K9:L9="特活")*(M9="×"))+SUMPRODUCT((K9:L9="学活")*(M9="×"))+SUMPRODUCT((N9:O9="特活")*(P9="×"))+SUMPRODUCT((N9:O9="学活")*(P9="×"))+SUMPRODUCT((B11:C11="特活")*(D11="×"))+SUMPRODUCT((B11:C11="学活")*(D11="×"))+SUMPRODUCT((E11:F11="特活")*(G11="×"))+SUMPRODUCT((E11:F11="学活")*(G11="×"))+SUMPRODUCT((H11:I11="特活")*(J11="×"))+SUMPRODUCT((H11:I11="学活")*(J11="×"))+SUMPRODUCT((K11:L11="特活")*(M11="×"))+SUMPRODUCT((K11:L11="学活")*(M11="×"))+SUMPRODUCT((N11:O11="特活")*(P11="×"))+SUMPRODUCT((N11:O11="学活")*(P11="×"))+SUMPRODUCT((B13:C13="特活")*(D13="×"))+SUMPRODUCT((B13:C13="学活")*(D13="×"))+SUMPRODUCT((E13:F13="特活")*(G13="×"))+SUMPRODUCT((E13:F13="学活")*(G13="×"))+SUMPRODUCT((H13:I13="特活")*(J13="×"))+SUMPRODUCT((H13:I13="学活")*(J13="×"))+SUMPRODUCT((K13:L13="特活")*(M13="×"))+SUMPRODUCT((K13:L13="学活")*(M13="×"))+SUMPRODUCT((N13:O13="特活")*(P13="×"))+SUMPRODUCT((N13:O13="学活")*(P13="×"))+SUMPRODUCT((B15:C15="特活")*(D15="×"))+SUMPRODUCT((B15:C15="学活")*(D15="×"))+SUMPRODUCT((E15:F15="特活")*(G15="×"))+SUMPRODUCT((E15:F15="学活")*(G15="×"))+SUMPRODUCT((H15:I15="特活")*(J15="×"))+SUMPRODUCT((H15:I15="学活")*(J15="×"))+SUMPRODUCT((K15:L15="特活")*(M15="×"))+SUMPRODUCT((K15:L15="学活")*(M15="×"))+SUMPRODUCT((N15:O15="特活")*(P15="×"))+SUMPRODUCT((N15:O15="学活")*(P15="×"))+SUMPRODUCT((B17:C17="特活")*(D17="×"))+SUMPRODUCT((B17:C17="学活")*(D17="×"))+SUMPRODUCT((E17:F17="特活")*(G17="×"))+SUMPRODUCT((E17:F17="学活")*(G17="×"))+SUMPRODUCT((H17:I17="特活")*(J17="×"))+SUMPRODUCT((H17:I17="学活")*(J17="×"))+SUMPRODUCT((K17:L17="特活")*(M17="×"))+SUMPRODUCT((K17:L17="学活")*(M17="×"))+SUMPRODUCT((N17:O17="特活")*(P17="×"))+SUMPRODUCT((N17:O17="学活")*(P17="×"))))</f>
        <v/>
      </c>
      <c r="N23" s="19">
        <f>IF(N24="","",N24-(SUMPRODUCT((B5:C5=N21)*(D5="×"))+SUMPRODUCT((E5:F5=N21)*(G5="×"))+SUMPRODUCT((H5:I5=N21)*(J5="×"))+SUMPRODUCT((K5:L5=N21)*(M5="×"))+SUMPRODUCT((N5:O5=N21)*(P5="×"))+SUMPRODUCT((B7:C7=N21)*(D7="×"))+SUMPRODUCT((E7:F7=N21)*(G7="×"))+SUMPRODUCT((H7:I7=N21)*(J7="×"))+SUMPRODUCT((K7:L7=N21)*(M7="×"))+SUMPRODUCT((N7:O7=N21)*(P7="×"))+SUMPRODUCT((B9:C9=N21)*(D9="×"))+SUMPRODUCT((E9:F9=N21)*(G9="×"))+SUMPRODUCT((H9:I9=N21)*(J9="×"))+SUMPRODUCT((K9:L9=N21)*(M9="×"))+SUMPRODUCT((N9:O9=N21)*(P9="×"))+SUMPRODUCT((B11:C11=N21)*(D11="×"))+SUMPRODUCT((E11:F11=N21)*(G11="×"))+SUMPRODUCT((H11:I11=N21)*(J11="×"))+SUMPRODUCT((K11:L11=N21)*(M11="×"))+SUMPRODUCT((N11:O11=N21)*(P11="×"))+SUMPRODUCT((B13:C13=N21)*(D13="×"))+SUMPRODUCT((E13:F13=N21)*(G13="×"))+SUMPRODUCT((H13:I13=N21)*(J13="×"))+SUMPRODUCT((K13:L13=N21)*(M13="×"))+SUMPRODUCT((N13:O13=N21)*(P13="×"))+SUMPRODUCT((B15:C15=N21)*(D15="×"))+SUMPRODUCT((E15:F15=N21)*(G15="×"))+SUMPRODUCT((H15:I15=N21)*(J15="×"))+SUMPRODUCT((K15:L15=N21)*(M15="×"))+SUMPRODUCT((N15:O15=N21)*(P15="×"))+SUMPRODUCT((B17:C17=N21)*(D17="×"))+SUMPRODUCT((E17:F17=N21)*(G17="×"))+SUMPRODUCT((H17:I17=N21)*(J17="×"))+SUMPRODUCT((K17:L17=N21)*(M17="×"))+SUMPRODUCT((N17:O17=N21)*(P17="×"))))</f>
        <v/>
      </c>
      <c r="O23" s="19">
        <f>IF(O24="","",O24-(SUMPRODUCT((B5:C5=O21)*(D5="×"))+SUMPRODUCT((E5:F5=O21)*(G5="×"))+SUMPRODUCT((H5:I5=O21)*(J5="×"))+SUMPRODUCT((K5:L5=O21)*(M5="×"))+SUMPRODUCT((N5:O5=O21)*(P5="×"))+SUMPRODUCT((B7:C7=O21)*(D7="×"))+SUMPRODUCT((E7:F7=O21)*(G7="×"))+SUMPRODUCT((H7:I7=O21)*(J7="×"))+SUMPRODUCT((K7:L7=O21)*(M7="×"))+SUMPRODUCT((N7:O7=O21)*(P7="×"))+SUMPRODUCT((B9:C9=O21)*(D9="×"))+SUMPRODUCT((E9:F9=O21)*(G9="×"))+SUMPRODUCT((H9:I9=O21)*(J9="×"))+SUMPRODUCT((K9:L9=O21)*(M9="×"))+SUMPRODUCT((N9:O9=O21)*(P9="×"))+SUMPRODUCT((B11:C11=O21)*(D11="×"))+SUMPRODUCT((E11:F11=O21)*(G11="×"))+SUMPRODUCT((H11:I11=O21)*(J11="×"))+SUMPRODUCT((K11:L11=O21)*(M11="×"))+SUMPRODUCT((N11:O11=O21)*(P11="×"))+SUMPRODUCT((B13:C13=O21)*(D13="×"))+SUMPRODUCT((E13:F13=O21)*(G13="×"))+SUMPRODUCT((H13:I13=O21)*(J13="×"))+SUMPRODUCT((K13:L13=O21)*(M13="×"))+SUMPRODUCT((N13:O13=O21)*(P13="×"))+SUMPRODUCT((B15:C15=O21)*(D15="×"))+SUMPRODUCT((E15:F15=O21)*(G15="×"))+SUMPRODUCT((H15:I15=O21)*(J15="×"))+SUMPRODUCT((K15:L15=O21)*(M15="×"))+SUMPRODUCT((N15:O15=O21)*(P15="×"))+SUMPRODUCT((B17:C17=O21)*(D17="×"))+SUMPRODUCT((E17:F17=O21)*(G17="×"))+SUMPRODUCT((H17:I17=O21)*(J17="×"))+SUMPRODUCT((K17:L17=O21)*(M17="×"))+SUMPRODUCT((N17:O17=O21)*(P17="×"))))</f>
        <v/>
      </c>
      <c r="P23" s="20">
        <f>IF(SUM(B23:O23)=0,"",SUM(B23:O23))</f>
        <v/>
      </c>
    </row>
    <row r="24" spans="1:16" ht="13.5" customHeight="1" x14ac:dyDescent="0.2">
      <c r="A24" s="36"/>
      <c r="B24" s="21">
        <f>IF(B21="","",IF(COUNTIF(B5:C5,B21)+COUNTIF(B5:C5,"*,"&amp;B21&amp;",*")+COUNTIF(E5:F5,B21)+COUNTIF(E5:F5,"*,"&amp;B21&amp;",*")+COUNTIF(H5:I5,B21)+COUNTIF(H5:I5,"*,"&amp;B21&amp;",*")+COUNTIF(K5:L5,B21)+COUNTIF(K5:L5,"*,"&amp;B21&amp;",*")+COUNTIF(N5:O5,B21)+COUNTIF(N5:O5,"*,"&amp;B21&amp;",*")+COUNTIF(B7:C7,B21)+COUNTIF(B7:C7,"*,"&amp;B21&amp;",*")+COUNTIF(E7:F7,B21)+COUNTIF(E7:F7,"*,"&amp;B21&amp;",*")+COUNTIF(H7:I7,B21)+COUNTIF(H7:I7,"*,"&amp;B21&amp;",*")+COUNTIF(K7:L7,B21)+COUNTIF(K7:L7,"*,"&amp;B21&amp;",*")+COUNTIF(N7:O7,B21)+COUNTIF(N7:O7,"*,"&amp;B21&amp;",*")+COUNTIF(B9:C9,B21)+COUNTIF(B9:C9,"*,"&amp;B21&amp;",*")+COUNTIF(E9:F9,B21)+COUNTIF(E9:F9,"*,"&amp;B21&amp;",*")+COUNTIF(H9:I9,B21)+COUNTIF(H9:I9,"*,"&amp;B21&amp;",*")+COUNTIF(K9:L9,B21)+COUNTIF(K9:L9,"*,"&amp;B21&amp;",*")+COUNTIF(N9:O9,B21)+COUNTIF(N9:O9,"*,"&amp;B21&amp;",*")+COUNTIF(B11:C11,B21)+COUNTIF(B11:C11,"*,"&amp;B21&amp;",*")+COUNTIF(E11:F11,B21)+COUNTIF(E11:F11,"*,"&amp;B21&amp;",*")+COUNTIF(H11:I11,B21)+COUNTIF(H11:I11,"*,"&amp;B21&amp;",*")+COUNTIF(K11:L11,B21)+COUNTIF(K11:L11,"*,"&amp;B21&amp;",*")+COUNTIF(N11:O11,B21)+COUNTIF(N11:O11,"*,"&amp;B21&amp;",*")+COUNTIF(B13:C13,B21)+COUNTIF(B13:C13,"*,"&amp;B21&amp;",*")+COUNTIF(E13:F13,B21)+COUNTIF(E13:F13,"*,"&amp;B21&amp;",*")+COUNTIF(H13:I13,B21)+COUNTIF(H13:I13,"*,"&amp;B21&amp;",*")+COUNTIF(K13:L13,B21)+COUNTIF(K13:L13,"*,"&amp;B21&amp;",*")+COUNTIF(N13:O13,B21)+COUNTIF(N13:O13,"*,"&amp;B21&amp;",*")+COUNTIF(B15:C15,B21)+COUNTIF(B15:C15,"*,"&amp;B21&amp;",*")+COUNTIF(E15:F15,B21)+COUNTIF(E15:F15,"*,"&amp;B21&amp;",*")+COUNTIF(H15:I15,B21)+COUNTIF(H15:I15,"*,"&amp;B21&amp;",*")+COUNTIF(K15:L15,B21)+COUNTIF(K15:L15,"*,"&amp;B21&amp;",*")+COUNTIF(N15:O15,B21)+COUNTIF(N15:O15,"*,"&amp;B21&amp;",*")+COUNTIF(B17:C17,B21)+COUNTIF(B17:C17,"*,"&amp;B21&amp;",*")+COUNTIF(E17:F17,B21)+COUNTIF(E17:F17,"*,"&amp;B21&amp;",*")+COUNTIF(H17:I17,B21)+COUNTIF(H17:I17,"*,"&amp;B21&amp;",*")+COUNTIF(K17:L17,B21)+COUNTIF(K17:L17,"*,"&amp;B21&amp;",*")+COUNTIF(N17:O17,B21)+COUNTIF(N17:O17,"*,"&amp;B21&amp;",*")=0,"",COUNTIF(B5:C5,B21)+COUNTIF(B5:C5,"*,"&amp;B21&amp;",*")+COUNTIF(E5:F5,B21)+COUNTIF(E5:F5,"*,"&amp;B21&amp;",*")+COUNTIF(H5:I5,B21)+COUNTIF(H5:I5,"*,"&amp;B21&amp;",*")+COUNTIF(K5:L5,B21)+COUNTIF(K5:L5,"*,"&amp;B21&amp;",*")+COUNTIF(N5:O5,B21)+COUNTIF(N5:O5,"*,"&amp;B21&amp;",*")+COUNTIF(B7:C7,B21)+COUNTIF(B7:C7,"*,"&amp;B21&amp;",*")+COUNTIF(E7:F7,B21)+COUNTIF(E7:F7,"*,"&amp;B21&amp;",*")+COUNTIF(H7:I7,B21)+COUNTIF(H7:I7,"*,"&amp;B21&amp;",*")+COUNTIF(K7:L7,B21)+COUNTIF(K7:L7,"*,"&amp;B21&amp;",*")+COUNTIF(N7:O7,B21)+COUNTIF(N7:O7,"*,"&amp;B21&amp;",*")+COUNTIF(B9:C9,B21)+COUNTIF(B9:C9,"*,"&amp;B21&amp;",*")+COUNTIF(E9:F9,B21)+COUNTIF(E9:F9,"*,"&amp;B21&amp;",*")+COUNTIF(H9:I9,B21)+COUNTIF(H9:I9,"*,"&amp;B21&amp;",*")+COUNTIF(K9:L9,B21)+COUNTIF(K9:L9,"*,"&amp;B21&amp;",*")+COUNTIF(N9:O9,B21)+COUNTIF(N9:O9,"*,"&amp;B21&amp;",*")+COUNTIF(B11:C11,B21)+COUNTIF(B11:C11,"*,"&amp;B21&amp;",*")+COUNTIF(E11:F11,B21)+COUNTIF(E11:F11,"*,"&amp;B21&amp;",*")+COUNTIF(H11:I11,B21)+COUNTIF(H11:I11,"*,"&amp;B21&amp;",*")+COUNTIF(K11:L11,B21)+COUNTIF(K11:L11,"*,"&amp;B21&amp;",*")+COUNTIF(N11:O11,B21)+COUNTIF(N11:O11,"*,"&amp;B21&amp;",*")+COUNTIF(B13:C13,B21)+COUNTIF(B13:C13,"*,"&amp;B21&amp;",*")+COUNTIF(E13:F13,B21)+COUNTIF(E13:F13,"*,"&amp;B21&amp;",*")+COUNTIF(H13:I13,B21)+COUNTIF(H13:I13,"*,"&amp;B21&amp;",*")+COUNTIF(K13:L13,B21)+COUNTIF(K13:L13,"*,"&amp;B21&amp;",*")+COUNTIF(N13:O13,B21)+COUNTIF(N13:O13,"*,"&amp;B21&amp;",*")+COUNTIF(B15:C15,B21)+COUNTIF(B15:C15,"*,"&amp;B21&amp;",*")+COUNTIF(E15:F15,B21)+COUNTIF(E15:F15,"*,"&amp;B21&amp;",*")+COUNTIF(H15:I15,B21)+COUNTIF(H15:I15,"*,"&amp;B21&amp;",*")+COUNTIF(K15:L15,B21)+COUNTIF(K15:L15,"*,"&amp;B21&amp;",*")+COUNTIF(N15:O15,B21)+COUNTIF(N15:O15,"*,"&amp;B21&amp;",*")+COUNTIF(B17:C17,B21)+COUNTIF(B17:C17,"*,"&amp;B21&amp;",*")+COUNTIF(E17:F17,B21)+COUNTIF(E17:F17,"*,"&amp;B21&amp;",*")+COUNTIF(H17:I17,B21)+COUNTIF(H17:I17,"*,"&amp;B21&amp;",*")+COUNTIF(K17:L17,B21)+COUNTIF(K17:L17,"*,"&amp;B21&amp;",*")+COUNTIF(N17:O17,B21)+COUNTIF(N17:O17,"*,"&amp;B21&amp;",*")))</f>
        <v/>
      </c>
      <c r="C24" s="21">
        <f>IF(C21="","",IF(COUNTIF(B5:C5,C21)+COUNTIF(B5:C5,"*,"&amp;C21&amp;",*")+COUNTIF(E5:F5,C21)+COUNTIF(E5:F5,"*,"&amp;C21&amp;",*")+COUNTIF(H5:I5,C21)+COUNTIF(H5:I5,"*,"&amp;C21&amp;",*")+COUNTIF(K5:L5,C21)+COUNTIF(K5:L5,"*,"&amp;C21&amp;",*")+COUNTIF(N5:O5,C21)+COUNTIF(N5:O5,"*,"&amp;C21&amp;",*")+COUNTIF(B7:C7,C21)+COUNTIF(B7:C7,"*,"&amp;C21&amp;",*")+COUNTIF(E7:F7,C21)+COUNTIF(E7:F7,"*,"&amp;C21&amp;",*")+COUNTIF(H7:I7,C21)+COUNTIF(H7:I7,"*,"&amp;C21&amp;",*")+COUNTIF(K7:L7,C21)+COUNTIF(K7:L7,"*,"&amp;C21&amp;",*")+COUNTIF(N7:O7,C21)+COUNTIF(N7:O7,"*,"&amp;C21&amp;",*")+COUNTIF(B9:C9,C21)+COUNTIF(B9:C9,"*,"&amp;C21&amp;",*")+COUNTIF(E9:F9,C21)+COUNTIF(E9:F9,"*,"&amp;C21&amp;",*")+COUNTIF(H9:I9,C21)+COUNTIF(H9:I9,"*,"&amp;C21&amp;",*")+COUNTIF(K9:L9,C21)+COUNTIF(K9:L9,"*,"&amp;C21&amp;",*")+COUNTIF(N9:O9,C21)+COUNTIF(N9:O9,"*,"&amp;C21&amp;",*")+COUNTIF(B11:C11,C21)+COUNTIF(B11:C11,"*,"&amp;C21&amp;",*")+COUNTIF(E11:F11,C21)+COUNTIF(E11:F11,"*,"&amp;C21&amp;",*")+COUNTIF(H11:I11,C21)+COUNTIF(H11:I11,"*,"&amp;C21&amp;",*")+COUNTIF(K11:L11,C21)+COUNTIF(K11:L11,"*,"&amp;C21&amp;",*")+COUNTIF(N11:O11,C21)+COUNTIF(N11:O11,"*,"&amp;C21&amp;",*")+COUNTIF(B13:C13,C21)+COUNTIF(B13:C13,"*,"&amp;C21&amp;",*")+COUNTIF(E13:F13,C21)+COUNTIF(E13:F13,"*,"&amp;C21&amp;",*")+COUNTIF(H13:I13,C21)+COUNTIF(H13:I13,"*,"&amp;C21&amp;",*")+COUNTIF(K13:L13,C21)+COUNTIF(K13:L13,"*,"&amp;C21&amp;",*")+COUNTIF(N13:O13,C21)+COUNTIF(N13:O13,"*,"&amp;C21&amp;",*")+COUNTIF(B15:C15,C21)+COUNTIF(B15:C15,"*,"&amp;C21&amp;",*")+COUNTIF(E15:F15,C21)+COUNTIF(E15:F15,"*,"&amp;C21&amp;",*")+COUNTIF(H15:I15,C21)+COUNTIF(H15:I15,"*,"&amp;C21&amp;",*")+COUNTIF(K15:L15,C21)+COUNTIF(K15:L15,"*,"&amp;C21&amp;",*")+COUNTIF(N15:O15,C21)+COUNTIF(N15:O15,"*,"&amp;C21&amp;",*")+COUNTIF(B17:C17,C21)+COUNTIF(B17:C17,"*,"&amp;C21&amp;",*")+COUNTIF(E17:F17,C21)+COUNTIF(E17:F17,"*,"&amp;C21&amp;",*")+COUNTIF(H17:I17,C21)+COUNTIF(H17:I17,"*,"&amp;C21&amp;",*")+COUNTIF(K17:L17,C21)+COUNTIF(K17:L17,"*,"&amp;C21&amp;",*")+COUNTIF(N17:O17,C21)+COUNTIF(N17:O17,"*,"&amp;C21&amp;",*")=0,"",COUNTIF(B5:C5,C21)+COUNTIF(B5:C5,"*,"&amp;C21&amp;",*")+COUNTIF(E5:F5,C21)+COUNTIF(E5:F5,"*,"&amp;C21&amp;",*")+COUNTIF(H5:I5,C21)+COUNTIF(H5:I5,"*,"&amp;C21&amp;",*")+COUNTIF(K5:L5,C21)+COUNTIF(K5:L5,"*,"&amp;C21&amp;",*")+COUNTIF(N5:O5,C21)+COUNTIF(N5:O5,"*,"&amp;C21&amp;",*")+COUNTIF(B7:C7,C21)+COUNTIF(B7:C7,"*,"&amp;C21&amp;",*")+COUNTIF(E7:F7,C21)+COUNTIF(E7:F7,"*,"&amp;C21&amp;",*")+COUNTIF(H7:I7,C21)+COUNTIF(H7:I7,"*,"&amp;C21&amp;",*")+COUNTIF(K7:L7,C21)+COUNTIF(K7:L7,"*,"&amp;C21&amp;",*")+COUNTIF(N7:O7,C21)+COUNTIF(N7:O7,"*,"&amp;C21&amp;",*")+COUNTIF(B9:C9,C21)+COUNTIF(B9:C9,"*,"&amp;C21&amp;",*")+COUNTIF(E9:F9,C21)+COUNTIF(E9:F9,"*,"&amp;C21&amp;",*")+COUNTIF(H9:I9,C21)+COUNTIF(H9:I9,"*,"&amp;C21&amp;",*")+COUNTIF(K9:L9,C21)+COUNTIF(K9:L9,"*,"&amp;C21&amp;",*")+COUNTIF(N9:O9,C21)+COUNTIF(N9:O9,"*,"&amp;C21&amp;",*")+COUNTIF(B11:C11,C21)+COUNTIF(B11:C11,"*,"&amp;C21&amp;",*")+COUNTIF(E11:F11,C21)+COUNTIF(E11:F11,"*,"&amp;C21&amp;",*")+COUNTIF(H11:I11,C21)+COUNTIF(H11:I11,"*,"&amp;C21&amp;",*")+COUNTIF(K11:L11,C21)+COUNTIF(K11:L11,"*,"&amp;C21&amp;",*")+COUNTIF(N11:O11,C21)+COUNTIF(N11:O11,"*,"&amp;C21&amp;",*")+COUNTIF(B13:C13,C21)+COUNTIF(B13:C13,"*,"&amp;C21&amp;",*")+COUNTIF(E13:F13,C21)+COUNTIF(E13:F13,"*,"&amp;C21&amp;",*")+COUNTIF(H13:I13,C21)+COUNTIF(H13:I13,"*,"&amp;C21&amp;",*")+COUNTIF(K13:L13,C21)+COUNTIF(K13:L13,"*,"&amp;C21&amp;",*")+COUNTIF(N13:O13,C21)+COUNTIF(N13:O13,"*,"&amp;C21&amp;",*")+COUNTIF(B15:C15,C21)+COUNTIF(B15:C15,"*,"&amp;C21&amp;",*")+COUNTIF(E15:F15,C21)+COUNTIF(E15:F15,"*,"&amp;C21&amp;",*")+COUNTIF(H15:I15,C21)+COUNTIF(H15:I15,"*,"&amp;C21&amp;",*")+COUNTIF(K15:L15,C21)+COUNTIF(K15:L15,"*,"&amp;C21&amp;",*")+COUNTIF(N15:O15,C21)+COUNTIF(N15:O15,"*,"&amp;C21&amp;",*")+COUNTIF(B17:C17,C21)+COUNTIF(B17:C17,"*,"&amp;C21&amp;",*")+COUNTIF(E17:F17,C21)+COUNTIF(E17:F17,"*,"&amp;C21&amp;",*")+COUNTIF(H17:I17,C21)+COUNTIF(H17:I17,"*,"&amp;C21&amp;",*")+COUNTIF(K17:L17,C21)+COUNTIF(K17:L17,"*,"&amp;C21&amp;",*")+COUNTIF(N17:O17,C21)+COUNTIF(N17:O17,"*,"&amp;C21&amp;",*")))</f>
        <v/>
      </c>
      <c r="D24" s="21">
        <f>IF(D21="","",IF(COUNTIF(B5:C5,D21)+COUNTIF(B5:C5,"*,"&amp;D21&amp;",*")+COUNTIF(E5:F5,D21)+COUNTIF(E5:F5,"*,"&amp;D21&amp;",*")+COUNTIF(H5:I5,D21)+COUNTIF(H5:I5,"*,"&amp;D21&amp;",*")+COUNTIF(K5:L5,D21)+COUNTIF(K5:L5,"*,"&amp;D21&amp;",*")+COUNTIF(N5:O5,D21)+COUNTIF(N5:O5,"*,"&amp;D21&amp;",*")+COUNTIF(B7:C7,D21)+COUNTIF(B7:C7,"*,"&amp;D21&amp;",*")+COUNTIF(E7:F7,D21)+COUNTIF(E7:F7,"*,"&amp;D21&amp;",*")+COUNTIF(H7:I7,D21)+COUNTIF(H7:I7,"*,"&amp;D21&amp;",*")+COUNTIF(K7:L7,D21)+COUNTIF(K7:L7,"*,"&amp;D21&amp;",*")+COUNTIF(N7:O7,D21)+COUNTIF(N7:O7,"*,"&amp;D21&amp;",*")+COUNTIF(B9:C9,D21)+COUNTIF(B9:C9,"*,"&amp;D21&amp;",*")+COUNTIF(E9:F9,D21)+COUNTIF(E9:F9,"*,"&amp;D21&amp;",*")+COUNTIF(H9:I9,D21)+COUNTIF(H9:I9,"*,"&amp;D21&amp;",*")+COUNTIF(K9:L9,D21)+COUNTIF(K9:L9,"*,"&amp;D21&amp;",*")+COUNTIF(N9:O9,D21)+COUNTIF(N9:O9,"*,"&amp;D21&amp;",*")+COUNTIF(B11:C11,D21)+COUNTIF(B11:C11,"*,"&amp;D21&amp;",*")+COUNTIF(E11:F11,D21)+COUNTIF(E11:F11,"*,"&amp;D21&amp;",*")+COUNTIF(H11:I11,D21)+COUNTIF(H11:I11,"*,"&amp;D21&amp;",*")+COUNTIF(K11:L11,D21)+COUNTIF(K11:L11,"*,"&amp;D21&amp;",*")+COUNTIF(N11:O11,D21)+COUNTIF(N11:O11,"*,"&amp;D21&amp;",*")+COUNTIF(B13:C13,D21)+COUNTIF(B13:C13,"*,"&amp;D21&amp;",*")+COUNTIF(E13:F13,D21)+COUNTIF(E13:F13,"*,"&amp;D21&amp;",*")+COUNTIF(H13:I13,D21)+COUNTIF(H13:I13,"*,"&amp;D21&amp;",*")+COUNTIF(K13:L13,D21)+COUNTIF(K13:L13,"*,"&amp;D21&amp;",*")+COUNTIF(N13:O13,D21)+COUNTIF(N13:O13,"*,"&amp;D21&amp;",*")+COUNTIF(B15:C15,D21)+COUNTIF(B15:C15,"*,"&amp;D21&amp;",*")+COUNTIF(E15:F15,D21)+COUNTIF(E15:F15,"*,"&amp;D21&amp;",*")+COUNTIF(H15:I15,D21)+COUNTIF(H15:I15,"*,"&amp;D21&amp;",*")+COUNTIF(K15:L15,D21)+COUNTIF(K15:L15,"*,"&amp;D21&amp;",*")+COUNTIF(N15:O15,D21)+COUNTIF(N15:O15,"*,"&amp;D21&amp;",*")+COUNTIF(B17:C17,D21)+COUNTIF(B17:C17,"*,"&amp;D21&amp;",*")+COUNTIF(E17:F17,D21)+COUNTIF(E17:F17,"*,"&amp;D21&amp;",*")+COUNTIF(H17:I17,D21)+COUNTIF(H17:I17,"*,"&amp;D21&amp;",*")+COUNTIF(K17:L17,D21)+COUNTIF(K17:L17,"*,"&amp;D21&amp;",*")+COUNTIF(N17:O17,D21)+COUNTIF(N17:O17,"*,"&amp;D21&amp;",*")=0,"",COUNTIF(B5:C5,D21)+COUNTIF(B5:C5,"*,"&amp;D21&amp;",*")+COUNTIF(E5:F5,D21)+COUNTIF(E5:F5,"*,"&amp;D21&amp;",*")+COUNTIF(H5:I5,D21)+COUNTIF(H5:I5,"*,"&amp;D21&amp;",*")+COUNTIF(K5:L5,D21)+COUNTIF(K5:L5,"*,"&amp;D21&amp;",*")+COUNTIF(N5:O5,D21)+COUNTIF(N5:O5,"*,"&amp;D21&amp;",*")+COUNTIF(B7:C7,D21)+COUNTIF(B7:C7,"*,"&amp;D21&amp;",*")+COUNTIF(E7:F7,D21)+COUNTIF(E7:F7,"*,"&amp;D21&amp;",*")+COUNTIF(H7:I7,D21)+COUNTIF(H7:I7,"*,"&amp;D21&amp;",*")+COUNTIF(K7:L7,D21)+COUNTIF(K7:L7,"*,"&amp;D21&amp;",*")+COUNTIF(N7:O7,D21)+COUNTIF(N7:O7,"*,"&amp;D21&amp;",*")+COUNTIF(B9:C9,D21)+COUNTIF(B9:C9,"*,"&amp;D21&amp;",*")+COUNTIF(E9:F9,D21)+COUNTIF(E9:F9,"*,"&amp;D21&amp;",*")+COUNTIF(H9:I9,D21)+COUNTIF(H9:I9,"*,"&amp;D21&amp;",*")+COUNTIF(K9:L9,D21)+COUNTIF(K9:L9,"*,"&amp;D21&amp;",*")+COUNTIF(N9:O9,D21)+COUNTIF(N9:O9,"*,"&amp;D21&amp;",*")+COUNTIF(B11:C11,D21)+COUNTIF(B11:C11,"*,"&amp;D21&amp;",*")+COUNTIF(E11:F11,D21)+COUNTIF(E11:F11,"*,"&amp;D21&amp;",*")+COUNTIF(H11:I11,D21)+COUNTIF(H11:I11,"*,"&amp;D21&amp;",*")+COUNTIF(K11:L11,D21)+COUNTIF(K11:L11,"*,"&amp;D21&amp;",*")+COUNTIF(N11:O11,D21)+COUNTIF(N11:O11,"*,"&amp;D21&amp;",*")+COUNTIF(B13:C13,D21)+COUNTIF(B13:C13,"*,"&amp;D21&amp;",*")+COUNTIF(E13:F13,D21)+COUNTIF(E13:F13,"*,"&amp;D21&amp;",*")+COUNTIF(H13:I13,D21)+COUNTIF(H13:I13,"*,"&amp;D21&amp;",*")+COUNTIF(K13:L13,D21)+COUNTIF(K13:L13,"*,"&amp;D21&amp;",*")+COUNTIF(N13:O13,D21)+COUNTIF(N13:O13,"*,"&amp;D21&amp;",*")+COUNTIF(B15:C15,D21)+COUNTIF(B15:C15,"*,"&amp;D21&amp;",*")+COUNTIF(E15:F15,D21)+COUNTIF(E15:F15,"*,"&amp;D21&amp;",*")+COUNTIF(H15:I15,D21)+COUNTIF(H15:I15,"*,"&amp;D21&amp;",*")+COUNTIF(K15:L15,D21)+COUNTIF(K15:L15,"*,"&amp;D21&amp;",*")+COUNTIF(N15:O15,D21)+COUNTIF(N15:O15,"*,"&amp;D21&amp;",*")+COUNTIF(B17:C17,D21)+COUNTIF(B17:C17,"*,"&amp;D21&amp;",*")+COUNTIF(E17:F17,D21)+COUNTIF(E17:F17,"*,"&amp;D21&amp;",*")+COUNTIF(H17:I17,D21)+COUNTIF(H17:I17,"*,"&amp;D21&amp;",*")+COUNTIF(K17:L17,D21)+COUNTIF(K17:L17,"*,"&amp;D21&amp;",*")+COUNTIF(N17:O17,D21)+COUNTIF(N17:O17,"*,"&amp;D21&amp;",*")))</f>
        <v/>
      </c>
      <c r="E24" s="21">
        <f>IF(E21="","",IF(COUNTIF(B5:C5,E21)+COUNTIF(B5:C5,"*,"&amp;E21&amp;",*")+COUNTIF(E5:F5,E21)+COUNTIF(E5:F5,"*,"&amp;E21&amp;",*")+COUNTIF(H5:I5,E21)+COUNTIF(H5:I5,"*,"&amp;E21&amp;",*")+COUNTIF(K5:L5,E21)+COUNTIF(K5:L5,"*,"&amp;E21&amp;",*")+COUNTIF(N5:O5,E21)+COUNTIF(N5:O5,"*,"&amp;E21&amp;",*")+COUNTIF(B7:C7,E21)+COUNTIF(B7:C7,"*,"&amp;E21&amp;",*")+COUNTIF(E7:F7,E21)+COUNTIF(E7:F7,"*,"&amp;E21&amp;",*")+COUNTIF(H7:I7,E21)+COUNTIF(H7:I7,"*,"&amp;E21&amp;",*")+COUNTIF(K7:L7,E21)+COUNTIF(K7:L7,"*,"&amp;E21&amp;",*")+COUNTIF(N7:O7,E21)+COUNTIF(N7:O7,"*,"&amp;E21&amp;",*")+COUNTIF(B9:C9,E21)+COUNTIF(B9:C9,"*,"&amp;E21&amp;",*")+COUNTIF(E9:F9,E21)+COUNTIF(E9:F9,"*,"&amp;E21&amp;",*")+COUNTIF(H9:I9,E21)+COUNTIF(H9:I9,"*,"&amp;E21&amp;",*")+COUNTIF(K9:L9,E21)+COUNTIF(K9:L9,"*,"&amp;E21&amp;",*")+COUNTIF(N9:O9,E21)+COUNTIF(N9:O9,"*,"&amp;E21&amp;",*")+COUNTIF(B11:C11,E21)+COUNTIF(B11:C11,"*,"&amp;E21&amp;",*")+COUNTIF(E11:F11,E21)+COUNTIF(E11:F11,"*,"&amp;E21&amp;",*")+COUNTIF(H11:I11,E21)+COUNTIF(H11:I11,"*,"&amp;E21&amp;",*")+COUNTIF(K11:L11,E21)+COUNTIF(K11:L11,"*,"&amp;E21&amp;",*")+COUNTIF(N11:O11,E21)+COUNTIF(N11:O11,"*,"&amp;E21&amp;",*")+COUNTIF(B13:C13,E21)+COUNTIF(B13:C13,"*,"&amp;E21&amp;",*")+COUNTIF(E13:F13,E21)+COUNTIF(E13:F13,"*,"&amp;E21&amp;",*")+COUNTIF(H13:I13,E21)+COUNTIF(H13:I13,"*,"&amp;E21&amp;",*")+COUNTIF(K13:L13,E21)+COUNTIF(K13:L13,"*,"&amp;E21&amp;",*")+COUNTIF(N13:O13,E21)+COUNTIF(N13:O13,"*,"&amp;E21&amp;",*")+COUNTIF(B15:C15,E21)+COUNTIF(B15:C15,"*,"&amp;E21&amp;",*")+COUNTIF(E15:F15,E21)+COUNTIF(E15:F15,"*,"&amp;E21&amp;",*")+COUNTIF(H15:I15,E21)+COUNTIF(H15:I15,"*,"&amp;E21&amp;",*")+COUNTIF(K15:L15,E21)+COUNTIF(K15:L15,"*,"&amp;E21&amp;",*")+COUNTIF(N15:O15,E21)+COUNTIF(N15:O15,"*,"&amp;E21&amp;",*")+COUNTIF(B17:C17,E21)+COUNTIF(B17:C17,"*,"&amp;E21&amp;",*")+COUNTIF(E17:F17,E21)+COUNTIF(E17:F17,"*,"&amp;E21&amp;",*")+COUNTIF(H17:I17,E21)+COUNTIF(H17:I17,"*,"&amp;E21&amp;",*")+COUNTIF(K17:L17,E21)+COUNTIF(K17:L17,"*,"&amp;E21&amp;",*")+COUNTIF(N17:O17,E21)+COUNTIF(N17:O17,"*,"&amp;E21&amp;",*")=0,"",COUNTIF(B5:C5,E21)+COUNTIF(B5:C5,"*,"&amp;E21&amp;",*")+COUNTIF(E5:F5,E21)+COUNTIF(E5:F5,"*,"&amp;E21&amp;",*")+COUNTIF(H5:I5,E21)+COUNTIF(H5:I5,"*,"&amp;E21&amp;",*")+COUNTIF(K5:L5,E21)+COUNTIF(K5:L5,"*,"&amp;E21&amp;",*")+COUNTIF(N5:O5,E21)+COUNTIF(N5:O5,"*,"&amp;E21&amp;",*")+COUNTIF(B7:C7,E21)+COUNTIF(B7:C7,"*,"&amp;E21&amp;",*")+COUNTIF(E7:F7,E21)+COUNTIF(E7:F7,"*,"&amp;E21&amp;",*")+COUNTIF(H7:I7,E21)+COUNTIF(H7:I7,"*,"&amp;E21&amp;",*")+COUNTIF(K7:L7,E21)+COUNTIF(K7:L7,"*,"&amp;E21&amp;",*")+COUNTIF(N7:O7,E21)+COUNTIF(N7:O7,"*,"&amp;E21&amp;",*")+COUNTIF(B9:C9,E21)+COUNTIF(B9:C9,"*,"&amp;E21&amp;",*")+COUNTIF(E9:F9,E21)+COUNTIF(E9:F9,"*,"&amp;E21&amp;",*")+COUNTIF(H9:I9,E21)+COUNTIF(H9:I9,"*,"&amp;E21&amp;",*")+COUNTIF(K9:L9,E21)+COUNTIF(K9:L9,"*,"&amp;E21&amp;",*")+COUNTIF(N9:O9,E21)+COUNTIF(N9:O9,"*,"&amp;E21&amp;",*")+COUNTIF(B11:C11,E21)+COUNTIF(B11:C11,"*,"&amp;E21&amp;",*")+COUNTIF(E11:F11,E21)+COUNTIF(E11:F11,"*,"&amp;E21&amp;",*")+COUNTIF(H11:I11,E21)+COUNTIF(H11:I11,"*,"&amp;E21&amp;",*")+COUNTIF(K11:L11,E21)+COUNTIF(K11:L11,"*,"&amp;E21&amp;",*")+COUNTIF(N11:O11,E21)+COUNTIF(N11:O11,"*,"&amp;E21&amp;",*")+COUNTIF(B13:C13,E21)+COUNTIF(B13:C13,"*,"&amp;E21&amp;",*")+COUNTIF(E13:F13,E21)+COUNTIF(E13:F13,"*,"&amp;E21&amp;",*")+COUNTIF(H13:I13,E21)+COUNTIF(H13:I13,"*,"&amp;E21&amp;",*")+COUNTIF(K13:L13,E21)+COUNTIF(K13:L13,"*,"&amp;E21&amp;",*")+COUNTIF(N13:O13,E21)+COUNTIF(N13:O13,"*,"&amp;E21&amp;",*")+COUNTIF(B15:C15,E21)+COUNTIF(B15:C15,"*,"&amp;E21&amp;",*")+COUNTIF(E15:F15,E21)+COUNTIF(E15:F15,"*,"&amp;E21&amp;",*")+COUNTIF(H15:I15,E21)+COUNTIF(H15:I15,"*,"&amp;E21&amp;",*")+COUNTIF(K15:L15,E21)+COUNTIF(K15:L15,"*,"&amp;E21&amp;",*")+COUNTIF(N15:O15,E21)+COUNTIF(N15:O15,"*,"&amp;E21&amp;",*")+COUNTIF(B17:C17,E21)+COUNTIF(B17:C17,"*,"&amp;E21&amp;",*")+COUNTIF(E17:F17,E21)+COUNTIF(E17:F17,"*,"&amp;E21&amp;",*")+COUNTIF(H17:I17,E21)+COUNTIF(H17:I17,"*,"&amp;E21&amp;",*")+COUNTIF(K17:L17,E21)+COUNTIF(K17:L17,"*,"&amp;E21&amp;",*")+COUNTIF(N17:O17,E21)+COUNTIF(N17:O17,"*,"&amp;E21&amp;",*")))</f>
        <v/>
      </c>
      <c r="F24" s="21">
        <f>IF(F21="","",IF(COUNTIF(B5:C5,F21)+COUNTIF(B5:C5,"*,"&amp;F21&amp;",*")+COUNTIF(E5:F5,F21)+COUNTIF(E5:F5,"*,"&amp;F21&amp;",*")+COUNTIF(H5:I5,F21)+COUNTIF(H5:I5,"*,"&amp;F21&amp;",*")+COUNTIF(K5:L5,F21)+COUNTIF(K5:L5,"*,"&amp;F21&amp;",*")+COUNTIF(N5:O5,F21)+COUNTIF(N5:O5,"*,"&amp;F21&amp;",*")+COUNTIF(B7:C7,F21)+COUNTIF(B7:C7,"*,"&amp;F21&amp;",*")+COUNTIF(E7:F7,F21)+COUNTIF(E7:F7,"*,"&amp;F21&amp;",*")+COUNTIF(H7:I7,F21)+COUNTIF(H7:I7,"*,"&amp;F21&amp;",*")+COUNTIF(K7:L7,F21)+COUNTIF(K7:L7,"*,"&amp;F21&amp;",*")+COUNTIF(N7:O7,F21)+COUNTIF(N7:O7,"*,"&amp;F21&amp;",*")+COUNTIF(B9:C9,F21)+COUNTIF(B9:C9,"*,"&amp;F21&amp;",*")+COUNTIF(E9:F9,F21)+COUNTIF(E9:F9,"*,"&amp;F21&amp;",*")+COUNTIF(H9:I9,F21)+COUNTIF(H9:I9,"*,"&amp;F21&amp;",*")+COUNTIF(K9:L9,F21)+COUNTIF(K9:L9,"*,"&amp;F21&amp;",*")+COUNTIF(N9:O9,F21)+COUNTIF(N9:O9,"*,"&amp;F21&amp;",*")+COUNTIF(B11:C11,F21)+COUNTIF(B11:C11,"*,"&amp;F21&amp;",*")+COUNTIF(E11:F11,F21)+COUNTIF(E11:F11,"*,"&amp;F21&amp;",*")+COUNTIF(H11:I11,F21)+COUNTIF(H11:I11,"*,"&amp;F21&amp;",*")+COUNTIF(K11:L11,F21)+COUNTIF(K11:L11,"*,"&amp;F21&amp;",*")+COUNTIF(N11:O11,F21)+COUNTIF(N11:O11,"*,"&amp;F21&amp;",*")+COUNTIF(B13:C13,F21)+COUNTIF(B13:C13,"*,"&amp;F21&amp;",*")+COUNTIF(E13:F13,F21)+COUNTIF(E13:F13,"*,"&amp;F21&amp;",*")+COUNTIF(H13:I13,F21)+COUNTIF(H13:I13,"*,"&amp;F21&amp;",*")+COUNTIF(K13:L13,F21)+COUNTIF(K13:L13,"*,"&amp;F21&amp;",*")+COUNTIF(N13:O13,F21)+COUNTIF(N13:O13,"*,"&amp;F21&amp;",*")+COUNTIF(B15:C15,F21)+COUNTIF(B15:C15,"*,"&amp;F21&amp;",*")+COUNTIF(E15:F15,F21)+COUNTIF(E15:F15,"*,"&amp;F21&amp;",*")+COUNTIF(H15:I15,F21)+COUNTIF(H15:I15,"*,"&amp;F21&amp;",*")+COUNTIF(K15:L15,F21)+COUNTIF(K15:L15,"*,"&amp;F21&amp;",*")+COUNTIF(N15:O15,F21)+COUNTIF(N15:O15,"*,"&amp;F21&amp;",*")+COUNTIF(B17:C17,F21)+COUNTIF(B17:C17,"*,"&amp;F21&amp;",*")+COUNTIF(E17:F17,F21)+COUNTIF(E17:F17,"*,"&amp;F21&amp;",*")+COUNTIF(H17:I17,F21)+COUNTIF(H17:I17,"*,"&amp;F21&amp;",*")+COUNTIF(K17:L17,F21)+COUNTIF(K17:L17,"*,"&amp;F21&amp;",*")+COUNTIF(N17:O17,F21)+COUNTIF(N17:O17,"*,"&amp;F21&amp;",*")=0,"",COUNTIF(B5:C5,F21)+COUNTIF(B5:C5,"*,"&amp;F21&amp;",*")+COUNTIF(E5:F5,F21)+COUNTIF(E5:F5,"*,"&amp;F21&amp;",*")+COUNTIF(H5:I5,F21)+COUNTIF(H5:I5,"*,"&amp;F21&amp;",*")+COUNTIF(K5:L5,F21)+COUNTIF(K5:L5,"*,"&amp;F21&amp;",*")+COUNTIF(N5:O5,F21)+COUNTIF(N5:O5,"*,"&amp;F21&amp;",*")+COUNTIF(B7:C7,F21)+COUNTIF(B7:C7,"*,"&amp;F21&amp;",*")+COUNTIF(E7:F7,F21)+COUNTIF(E7:F7,"*,"&amp;F21&amp;",*")+COUNTIF(H7:I7,F21)+COUNTIF(H7:I7,"*,"&amp;F21&amp;",*")+COUNTIF(K7:L7,F21)+COUNTIF(K7:L7,"*,"&amp;F21&amp;",*")+COUNTIF(N7:O7,F21)+COUNTIF(N7:O7,"*,"&amp;F21&amp;",*")+COUNTIF(B9:C9,F21)+COUNTIF(B9:C9,"*,"&amp;F21&amp;",*")+COUNTIF(E9:F9,F21)+COUNTIF(E9:F9,"*,"&amp;F21&amp;",*")+COUNTIF(H9:I9,F21)+COUNTIF(H9:I9,"*,"&amp;F21&amp;",*")+COUNTIF(K9:L9,F21)+COUNTIF(K9:L9,"*,"&amp;F21&amp;",*")+COUNTIF(N9:O9,F21)+COUNTIF(N9:O9,"*,"&amp;F21&amp;",*")+COUNTIF(B11:C11,F21)+COUNTIF(B11:C11,"*,"&amp;F21&amp;",*")+COUNTIF(E11:F11,F21)+COUNTIF(E11:F11,"*,"&amp;F21&amp;",*")+COUNTIF(H11:I11,F21)+COUNTIF(H11:I11,"*,"&amp;F21&amp;",*")+COUNTIF(K11:L11,F21)+COUNTIF(K11:L11,"*,"&amp;F21&amp;",*")+COUNTIF(N11:O11,F21)+COUNTIF(N11:O11,"*,"&amp;F21&amp;",*")+COUNTIF(B13:C13,F21)+COUNTIF(B13:C13,"*,"&amp;F21&amp;",*")+COUNTIF(E13:F13,F21)+COUNTIF(E13:F13,"*,"&amp;F21&amp;",*")+COUNTIF(H13:I13,F21)+COUNTIF(H13:I13,"*,"&amp;F21&amp;",*")+COUNTIF(K13:L13,F21)+COUNTIF(K13:L13,"*,"&amp;F21&amp;",*")+COUNTIF(N13:O13,F21)+COUNTIF(N13:O13,"*,"&amp;F21&amp;",*")+COUNTIF(B15:C15,F21)+COUNTIF(B15:C15,"*,"&amp;F21&amp;",*")+COUNTIF(E15:F15,F21)+COUNTIF(E15:F15,"*,"&amp;F21&amp;",*")+COUNTIF(H15:I15,F21)+COUNTIF(H15:I15,"*,"&amp;F21&amp;",*")+COUNTIF(K15:L15,F21)+COUNTIF(K15:L15,"*,"&amp;F21&amp;",*")+COUNTIF(N15:O15,F21)+COUNTIF(N15:O15,"*,"&amp;F21&amp;",*")+COUNTIF(B17:C17,F21)+COUNTIF(B17:C17,"*,"&amp;F21&amp;",*")+COUNTIF(E17:F17,F21)+COUNTIF(E17:F17,"*,"&amp;F21&amp;",*")+COUNTIF(H17:I17,F21)+COUNTIF(H17:I17,"*,"&amp;F21&amp;",*")+COUNTIF(K17:L17,F21)+COUNTIF(K17:L17,"*,"&amp;F21&amp;",*")+COUNTIF(N17:O17,F21)+COUNTIF(N17:O17,"*,"&amp;F21&amp;",*")))</f>
        <v/>
      </c>
      <c r="G24" s="21">
        <f>IF(G21="","",IF(COUNTIF(B5:C5,G21)+COUNTIF(B5:C5,"*,"&amp;G21&amp;",*")+COUNTIF(E5:F5,G21)+COUNTIF(E5:F5,"*,"&amp;G21&amp;",*")+COUNTIF(H5:I5,G21)+COUNTIF(H5:I5,"*,"&amp;G21&amp;",*")+COUNTIF(K5:L5,G21)+COUNTIF(K5:L5,"*,"&amp;G21&amp;",*")+COUNTIF(N5:O5,G21)+COUNTIF(N5:O5,"*,"&amp;G21&amp;",*")+COUNTIF(B7:C7,G21)+COUNTIF(B7:C7,"*,"&amp;G21&amp;",*")+COUNTIF(E7:F7,G21)+COUNTIF(E7:F7,"*,"&amp;G21&amp;",*")+COUNTIF(H7:I7,G21)+COUNTIF(H7:I7,"*,"&amp;G21&amp;",*")+COUNTIF(K7:L7,G21)+COUNTIF(K7:L7,"*,"&amp;G21&amp;",*")+COUNTIF(N7:O7,G21)+COUNTIF(N7:O7,"*,"&amp;G21&amp;",*")+COUNTIF(B9:C9,G21)+COUNTIF(B9:C9,"*,"&amp;G21&amp;",*")+COUNTIF(E9:F9,G21)+COUNTIF(E9:F9,"*,"&amp;G21&amp;",*")+COUNTIF(H9:I9,G21)+COUNTIF(H9:I9,"*,"&amp;G21&amp;",*")+COUNTIF(K9:L9,G21)+COUNTIF(K9:L9,"*,"&amp;G21&amp;",*")+COUNTIF(N9:O9,G21)+COUNTIF(N9:O9,"*,"&amp;G21&amp;",*")+COUNTIF(B11:C11,G21)+COUNTIF(B11:C11,"*,"&amp;G21&amp;",*")+COUNTIF(E11:F11,G21)+COUNTIF(E11:F11,"*,"&amp;G21&amp;",*")+COUNTIF(H11:I11,G21)+COUNTIF(H11:I11,"*,"&amp;G21&amp;",*")+COUNTIF(K11:L11,G21)+COUNTIF(K11:L11,"*,"&amp;G21&amp;",*")+COUNTIF(N11:O11,G21)+COUNTIF(N11:O11,"*,"&amp;G21&amp;",*")+COUNTIF(B13:C13,G21)+COUNTIF(B13:C13,"*,"&amp;G21&amp;",*")+COUNTIF(E13:F13,G21)+COUNTIF(E13:F13,"*,"&amp;G21&amp;",*")+COUNTIF(H13:I13,G21)+COUNTIF(H13:I13,"*,"&amp;G21&amp;",*")+COUNTIF(K13:L13,G21)+COUNTIF(K13:L13,"*,"&amp;G21&amp;",*")+COUNTIF(N13:O13,G21)+COUNTIF(N13:O13,"*,"&amp;G21&amp;",*")+COUNTIF(B15:C15,G21)+COUNTIF(B15:C15,"*,"&amp;G21&amp;",*")+COUNTIF(E15:F15,G21)+COUNTIF(E15:F15,"*,"&amp;G21&amp;",*")+COUNTIF(H15:I15,G21)+COUNTIF(H15:I15,"*,"&amp;G21&amp;",*")+COUNTIF(K15:L15,G21)+COUNTIF(K15:L15,"*,"&amp;G21&amp;",*")+COUNTIF(N15:O15,G21)+COUNTIF(N15:O15,"*,"&amp;G21&amp;",*")+COUNTIF(B17:C17,G21)+COUNTIF(B17:C17,"*,"&amp;G21&amp;",*")+COUNTIF(E17:F17,G21)+COUNTIF(E17:F17,"*,"&amp;G21&amp;",*")+COUNTIF(H17:I17,G21)+COUNTIF(H17:I17,"*,"&amp;G21&amp;",*")+COUNTIF(K17:L17,G21)+COUNTIF(K17:L17,"*,"&amp;G21&amp;",*")+COUNTIF(N17:O17,G21)+COUNTIF(N17:O17,"*,"&amp;G21&amp;",*")=0,"",COUNTIF(B5:C5,G21)+COUNTIF(B5:C5,"*,"&amp;G21&amp;",*")+COUNTIF(E5:F5,G21)+COUNTIF(E5:F5,"*,"&amp;G21&amp;",*")+COUNTIF(H5:I5,G21)+COUNTIF(H5:I5,"*,"&amp;G21&amp;",*")+COUNTIF(K5:L5,G21)+COUNTIF(K5:L5,"*,"&amp;G21&amp;",*")+COUNTIF(N5:O5,G21)+COUNTIF(N5:O5,"*,"&amp;G21&amp;",*")+COUNTIF(B7:C7,G21)+COUNTIF(B7:C7,"*,"&amp;G21&amp;",*")+COUNTIF(E7:F7,G21)+COUNTIF(E7:F7,"*,"&amp;G21&amp;",*")+COUNTIF(H7:I7,G21)+COUNTIF(H7:I7,"*,"&amp;G21&amp;",*")+COUNTIF(K7:L7,G21)+COUNTIF(K7:L7,"*,"&amp;G21&amp;",*")+COUNTIF(N7:O7,G21)+COUNTIF(N7:O7,"*,"&amp;G21&amp;",*")+COUNTIF(B9:C9,G21)+COUNTIF(B9:C9,"*,"&amp;G21&amp;",*")+COUNTIF(E9:F9,G21)+COUNTIF(E9:F9,"*,"&amp;G21&amp;",*")+COUNTIF(H9:I9,G21)+COUNTIF(H9:I9,"*,"&amp;G21&amp;",*")+COUNTIF(K9:L9,G21)+COUNTIF(K9:L9,"*,"&amp;G21&amp;",*")+COUNTIF(N9:O9,G21)+COUNTIF(N9:O9,"*,"&amp;G21&amp;",*")+COUNTIF(B11:C11,G21)+COUNTIF(B11:C11,"*,"&amp;G21&amp;",*")+COUNTIF(E11:F11,G21)+COUNTIF(E11:F11,"*,"&amp;G21&amp;",*")+COUNTIF(H11:I11,G21)+COUNTIF(H11:I11,"*,"&amp;G21&amp;",*")+COUNTIF(K11:L11,G21)+COUNTIF(K11:L11,"*,"&amp;G21&amp;",*")+COUNTIF(N11:O11,G21)+COUNTIF(N11:O11,"*,"&amp;G21&amp;",*")+COUNTIF(B13:C13,G21)+COUNTIF(B13:C13,"*,"&amp;G21&amp;",*")+COUNTIF(E13:F13,G21)+COUNTIF(E13:F13,"*,"&amp;G21&amp;",*")+COUNTIF(H13:I13,G21)+COUNTIF(H13:I13,"*,"&amp;G21&amp;",*")+COUNTIF(K13:L13,G21)+COUNTIF(K13:L13,"*,"&amp;G21&amp;",*")+COUNTIF(N13:O13,G21)+COUNTIF(N13:O13,"*,"&amp;G21&amp;",*")+COUNTIF(B15:C15,G21)+COUNTIF(B15:C15,"*,"&amp;G21&amp;",*")+COUNTIF(E15:F15,G21)+COUNTIF(E15:F15,"*,"&amp;G21&amp;",*")+COUNTIF(H15:I15,G21)+COUNTIF(H15:I15,"*,"&amp;G21&amp;",*")+COUNTIF(K15:L15,G21)+COUNTIF(K15:L15,"*,"&amp;G21&amp;",*")+COUNTIF(N15:O15,G21)+COUNTIF(N15:O15,"*,"&amp;G21&amp;",*")+COUNTIF(B17:C17,G21)+COUNTIF(B17:C17,"*,"&amp;G21&amp;",*")+COUNTIF(E17:F17,G21)+COUNTIF(E17:F17,"*,"&amp;G21&amp;",*")+COUNTIF(H17:I17,G21)+COUNTIF(H17:I17,"*,"&amp;G21&amp;",*")+COUNTIF(K17:L17,G21)+COUNTIF(K17:L17,"*,"&amp;G21&amp;",*")+COUNTIF(N17:O17,G21)+COUNTIF(N17:O17,"*,"&amp;G21&amp;",*")))</f>
        <v/>
      </c>
      <c r="H24" s="21"/>
      <c r="I24" s="21"/>
      <c r="J24" s="21"/>
      <c r="K24" s="21"/>
      <c r="L24" s="21"/>
      <c r="M24" s="21">
        <f>IF(COUNTIF(B5:C5,"特活")+COUNTIF(B5:C5,"学活")+COUNTIF(E5:F5,"特活")+COUNTIF(E5:F5,"学活")+COUNTIF(H5:I5,"特活")+COUNTIF(H5:I5,"学活")+COUNTIF(K5:L5,"特活")+COUNTIF(K5:L5,"学活")+COUNTIF(N5:O5,"特活")+COUNTIF(N5:O5,"学活")+COUNTIF(B7:C7,"特活")+COUNTIF(B7:C7,"学活")+COUNTIF(E7:F7,"特活")+COUNTIF(E7:F7,"学活")+COUNTIF(H7:I7,"特活")+COUNTIF(H7:I7,"学活")+COUNTIF(K7:L7,"特活")+COUNTIF(K7:L7,"学活")+COUNTIF(N7:O7,"特活")+COUNTIF(N7:O7,"学活")+COUNTIF(B9:C9,"特活")+COUNTIF(B9:C9,"学活")+COUNTIF(E9:F9,"特活")+COUNTIF(E9:F9,"学活")+COUNTIF(H9:I9,"特活")+COUNTIF(H9:I9,"学活")+COUNTIF(K9:L9,"特活")+COUNTIF(K9:L9,"学活")+COUNTIF(N9:O9,"特活")+COUNTIF(N9:O9,"学活")+COUNTIF(B11:C11,"特活")+COUNTIF(B11:C11,"学活")+COUNTIF(E11:F11,"特活")+COUNTIF(E11:F11,"学活")+COUNTIF(H11:I11,"特活")+COUNTIF(H11:I11,"学活")+COUNTIF(K11:L11,"特活")+COUNTIF(K11:L11,"学活")+COUNTIF(N11:O11,"特活")+COUNTIF(N11:O11,"学活")+COUNTIF(B13:C13,"特活")+COUNTIF(B13:C13,"学活")+COUNTIF(E13:F13,"特活")+COUNTIF(E13:F13,"学活")+COUNTIF(H13:I13,"特活")+COUNTIF(H13:I13,"学活")+COUNTIF(K13:L13,"特活")+COUNTIF(K13:L13,"学活")+COUNTIF(N13:O13,"特活")+COUNTIF(N13:O13,"学活")+COUNTIF(B15:C15,"特活")+COUNTIF(B15:C15,"学活")+COUNTIF(E15:F15,"特活")+COUNTIF(E15:F15,"学活")+COUNTIF(H15:I15,"特活")+COUNTIF(H15:I15,"学活")+COUNTIF(K15:L15,"特活")+COUNTIF(K15:L15,"学活")+COUNTIF(N15:O15,"特活")+COUNTIF(N15:O15,"学活")+COUNTIF(B17:C17,"特活")+COUNTIF(B17:C17,"学活")+COUNTIF(E17:F17,"特活")+COUNTIF(E17:F17,"学活")+COUNTIF(H17:I17,"特活")+COUNTIF(H17:I17,"学活")+COUNTIF(K17:L17,"特活")+COUNTIF(K17:L17,"学活")+COUNTIF(N17:O17,"特活")+COUNTIF(N17:O17,"学活")=0,"",COUNTIF(B5:C5,"特活")+COUNTIF(B5:C5,"学活")+COUNTIF(E5:F5,"特活")+COUNTIF(E5:F5,"学活")+COUNTIF(H5:I5,"特活")+COUNTIF(H5:I5,"学活")+COUNTIF(K5:L5,"特活")+COUNTIF(K5:L5,"学活")+COUNTIF(N5:O5,"特活")+COUNTIF(N5:O5,"学活")+COUNTIF(B7:C7,"特活")+COUNTIF(B7:C7,"学活")+COUNTIF(E7:F7,"特活")+COUNTIF(E7:F7,"学活")+COUNTIF(H7:I7,"特活")+COUNTIF(H7:I7,"学活")+COUNTIF(K7:L7,"特活")+COUNTIF(K7:L7,"学活")+COUNTIF(N7:O7,"特活")+COUNTIF(N7:O7,"学活")+COUNTIF(B9:C9,"特活")+COUNTIF(B9:C9,"学活")+COUNTIF(E9:F9,"特活")+COUNTIF(E9:F9,"学活")+COUNTIF(H9:I9,"特活")+COUNTIF(H9:I9,"学活")+COUNTIF(K9:L9,"特活")+COUNTIF(K9:L9,"学活")+COUNTIF(N9:O9,"特活")+COUNTIF(N9:O9,"学活")+COUNTIF(B11:C11,"特活")+COUNTIF(B11:C11,"学活")+COUNTIF(E11:F11,"特活")+COUNTIF(E11:F11,"学活")+COUNTIF(H11:I11,"特活")+COUNTIF(H11:I11,"学活")+COUNTIF(K11:L11,"特活")+COUNTIF(K11:L11,"学活")+COUNTIF(N11:O11,"特活")+COUNTIF(N11:O11,"学活")+COUNTIF(B13:C13,"特活")+COUNTIF(B13:C13,"学活")+COUNTIF(E13:F13,"特活")+COUNTIF(E13:F13,"学活")+COUNTIF(H13:I13,"特活")+COUNTIF(H13:I13,"学活")+COUNTIF(K13:L13,"特活")+COUNTIF(K13:L13,"学活")+COUNTIF(N13:O13,"特活")+COUNTIF(N13:O13,"学活")+COUNTIF(B15:C15,"特活")+COUNTIF(B15:C15,"学活")+COUNTIF(E15:F15,"特活")+COUNTIF(E15:F15,"学活")+COUNTIF(H15:I15,"特活")+COUNTIF(H15:I15,"学活")+COUNTIF(K15:L15,"特活")+COUNTIF(K15:L15,"学活")+COUNTIF(N15:O15,"特活")+COUNTIF(N15:O15,"学活")+COUNTIF(B17:C17,"特活")+COUNTIF(B17:C17,"学活")+COUNTIF(E17:F17,"特活")+COUNTIF(E17:F17,"学活")+COUNTIF(H17:I17,"特活")+COUNTIF(H17:I17,"学活")+COUNTIF(K17:L17,"特活")+COUNTIF(K17:L17,"学活")+COUNTIF(N17:O17,"特活")+COUNTIF(N17:O17,"学活"))</f>
        <v/>
      </c>
      <c r="N24" s="21">
        <f>IF(COUNTIF(B5:C5,N21)+COUNTIF(B5:C5,"*,"&amp;N21&amp;",*")+COUNTIF(E5:F5,N21)+COUNTIF(E5:F5,"*,"&amp;N21&amp;",*")+COUNTIF(H5:I5,N21)+COUNTIF(H5:I5,"*,"&amp;N21&amp;",*")+COUNTIF(K5:L5,N21)+COUNTIF(K5:L5,"*,"&amp;N21&amp;",*")+COUNTIF(N5:O5,N21)+COUNTIF(N5:O5,"*,"&amp;N21&amp;",*")+COUNTIF(B7:C7,N21)+COUNTIF(B7:C7,"*,"&amp;N21&amp;",*")+COUNTIF(E7:F7,N21)+COUNTIF(E7:F7,"*,"&amp;N21&amp;",*")+COUNTIF(H7:I7,N21)+COUNTIF(H7:I7,"*,"&amp;N21&amp;",*")+COUNTIF(K7:L7,N21)+COUNTIF(K7:L7,"*,"&amp;N21&amp;",*")+COUNTIF(N7:O7,N21)+COUNTIF(N7:O7,"*,"&amp;N21&amp;",*")+COUNTIF(B9:C9,N21)+COUNTIF(B9:C9,"*,"&amp;N21&amp;",*")+COUNTIF(E9:F9,N21)+COUNTIF(E9:F9,"*,"&amp;N21&amp;",*")+COUNTIF(H9:I9,N21)+COUNTIF(H9:I9,"*,"&amp;N21&amp;",*")+COUNTIF(K9:L9,N21)+COUNTIF(K9:L9,"*,"&amp;N21&amp;",*")+COUNTIF(N9:O9,N21)+COUNTIF(N9:O9,"*,"&amp;N21&amp;",*")+COUNTIF(B11:C11,N21)+COUNTIF(B11:C11,"*,"&amp;N21&amp;",*")+COUNTIF(E11:F11,N21)+COUNTIF(E11:F11,"*,"&amp;N21&amp;",*")+COUNTIF(H11:I11,N21)+COUNTIF(H11:I11,"*,"&amp;N21&amp;",*")+COUNTIF(K11:L11,N21)+COUNTIF(K11:L11,"*,"&amp;N21&amp;",*")+COUNTIF(N11:O11,N21)+COUNTIF(N11:O11,"*,"&amp;N21&amp;",*")+COUNTIF(B13:C13,N21)+COUNTIF(B13:C13,"*,"&amp;N21&amp;",*")+COUNTIF(E13:F13,N21)+COUNTIF(E13:F13,"*,"&amp;N21&amp;",*")+COUNTIF(H13:I13,N21)+COUNTIF(H13:I13,"*,"&amp;N21&amp;",*")+COUNTIF(K13:L13,N21)+COUNTIF(K13:L13,"*,"&amp;N21&amp;",*")+COUNTIF(N13:O13,N21)+COUNTIF(N13:O13,"*,"&amp;N21&amp;",*")+COUNTIF(B15:C15,N21)+COUNTIF(B15:C15,"*,"&amp;N21&amp;",*")+COUNTIF(E15:F15,N21)+COUNTIF(E15:F15,"*,"&amp;N21&amp;",*")+COUNTIF(H15:I15,N21)+COUNTIF(H15:I15,"*,"&amp;N21&amp;",*")+COUNTIF(K15:L15,N21)+COUNTIF(K15:L15,"*,"&amp;N21&amp;",*")+COUNTIF(N15:O15,N21)+COUNTIF(N15:O15,"*,"&amp;N21&amp;",*")+COUNTIF(B17:C17,N21)+COUNTIF(B17:C17,"*,"&amp;N21&amp;",*")+COUNTIF(E17:F17,N21)+COUNTIF(E17:F17,"*,"&amp;N21&amp;",*")+COUNTIF(H17:I17,N21)+COUNTIF(H17:I17,"*,"&amp;N21&amp;",*")+COUNTIF(K17:L17,N21)+COUNTIF(K17:L17,"*,"&amp;N21&amp;",*")+COUNTIF(N17:O17,N21)+COUNTIF(N17:O17,"*,"&amp;N21&amp;",*")=0,"",COUNTIF(B5:C5,N21)+COUNTIF(B5:C5,"*,"&amp;N21&amp;",*")+COUNTIF(E5:F5,N21)+COUNTIF(E5:F5,"*,"&amp;N21&amp;",*")+COUNTIF(H5:I5,N21)+COUNTIF(H5:I5,"*,"&amp;N21&amp;",*")+COUNTIF(K5:L5,N21)+COUNTIF(K5:L5,"*,"&amp;N21&amp;",*")+COUNTIF(N5:O5,N21)+COUNTIF(N5:O5,"*,"&amp;N21&amp;",*")+COUNTIF(B7:C7,N21)+COUNTIF(B7:C7,"*,"&amp;N21&amp;",*")+COUNTIF(E7:F7,N21)+COUNTIF(E7:F7,"*,"&amp;N21&amp;",*")+COUNTIF(H7:I7,N21)+COUNTIF(H7:I7,"*,"&amp;N21&amp;",*")+COUNTIF(K7:L7,N21)+COUNTIF(K7:L7,"*,"&amp;N21&amp;",*")+COUNTIF(N7:O7,N21)+COUNTIF(N7:O7,"*,"&amp;N21&amp;",*")+COUNTIF(B9:C9,N21)+COUNTIF(B9:C9,"*,"&amp;N21&amp;",*")+COUNTIF(E9:F9,N21)+COUNTIF(E9:F9,"*,"&amp;N21&amp;",*")+COUNTIF(H9:I9,N21)+COUNTIF(H9:I9,"*,"&amp;N21&amp;",*")+COUNTIF(K9:L9,N21)+COUNTIF(K9:L9,"*,"&amp;N21&amp;",*")+COUNTIF(N9:O9,N21)+COUNTIF(N9:O9,"*,"&amp;N21&amp;",*")+COUNTIF(B11:C11,N21)+COUNTIF(B11:C11,"*,"&amp;N21&amp;",*")+COUNTIF(E11:F11,N21)+COUNTIF(E11:F11,"*,"&amp;N21&amp;",*")+COUNTIF(H11:I11,N21)+COUNTIF(H11:I11,"*,"&amp;N21&amp;",*")+COUNTIF(K11:L11,N21)+COUNTIF(K11:L11,"*,"&amp;N21&amp;",*")+COUNTIF(N11:O11,N21)+COUNTIF(N11:O11,"*,"&amp;N21&amp;",*")+COUNTIF(B13:C13,N21)+COUNTIF(B13:C13,"*,"&amp;N21&amp;",*")+COUNTIF(E13:F13,N21)+COUNTIF(E13:F13,"*,"&amp;N21&amp;",*")+COUNTIF(H13:I13,N21)+COUNTIF(H13:I13,"*,"&amp;N21&amp;",*")+COUNTIF(K13:L13,N21)+COUNTIF(K13:L13,"*,"&amp;N21&amp;",*")+COUNTIF(N13:O13,N21)+COUNTIF(N13:O13,"*,"&amp;N21&amp;",*")+COUNTIF(B15:C15,N21)+COUNTIF(B15:C15,"*,"&amp;N21&amp;",*")+COUNTIF(E15:F15,N21)+COUNTIF(E15:F15,"*,"&amp;N21&amp;",*")+COUNTIF(H15:I15,N21)+COUNTIF(H15:I15,"*,"&amp;N21&amp;",*")+COUNTIF(K15:L15,N21)+COUNTIF(K15:L15,"*,"&amp;N21&amp;",*")+COUNTIF(N15:O15,N21)+COUNTIF(N15:O15,"*,"&amp;N21&amp;",*")+COUNTIF(B17:C17,N21)+COUNTIF(B17:C17,"*,"&amp;N21&amp;",*")+COUNTIF(E17:F17,N21)+COUNTIF(E17:F17,"*,"&amp;N21&amp;",*")+COUNTIF(H17:I17,N21)+COUNTIF(H17:I17,"*,"&amp;N21&amp;",*")+COUNTIF(K17:L17,N21)+COUNTIF(K17:L17,"*,"&amp;N21&amp;",*")+COUNTIF(N17:O17,N21)+COUNTIF(N17:O17,"*,"&amp;N21&amp;",*"))</f>
        <v/>
      </c>
      <c r="O24" s="21">
        <f>IF(COUNTIF(B5:C5,O21)+COUNTIF(B5:C5,"*,"&amp;O21&amp;",*")+COUNTIF(E5:F5,O21)+COUNTIF(E5:F5,"*,"&amp;O21&amp;",*")+COUNTIF(H5:I5,O21)+COUNTIF(H5:I5,"*,"&amp;O21&amp;",*")+COUNTIF(K5:L5,O21)+COUNTIF(K5:L5,"*,"&amp;O21&amp;",*")+COUNTIF(N5:O5,O21)+COUNTIF(N5:O5,"*,"&amp;O21&amp;",*")+COUNTIF(B7:C7,O21)+COUNTIF(B7:C7,"*,"&amp;O21&amp;",*")+COUNTIF(E7:F7,O21)+COUNTIF(E7:F7,"*,"&amp;O21&amp;",*")+COUNTIF(H7:I7,O21)+COUNTIF(H7:I7,"*,"&amp;O21&amp;",*")+COUNTIF(K7:L7,O21)+COUNTIF(K7:L7,"*,"&amp;O21&amp;",*")+COUNTIF(N7:O7,O21)+COUNTIF(N7:O7,"*,"&amp;O21&amp;",*")+COUNTIF(B9:C9,O21)+COUNTIF(B9:C9,"*,"&amp;O21&amp;",*")+COUNTIF(E9:F9,O21)+COUNTIF(E9:F9,"*,"&amp;O21&amp;",*")+COUNTIF(H9:I9,O21)+COUNTIF(H9:I9,"*,"&amp;O21&amp;",*")+COUNTIF(K9:L9,O21)+COUNTIF(K9:L9,"*,"&amp;O21&amp;",*")+COUNTIF(N9:O9,O21)+COUNTIF(N9:O9,"*,"&amp;O21&amp;",*")+COUNTIF(B11:C11,O21)+COUNTIF(B11:C11,"*,"&amp;O21&amp;",*")+COUNTIF(E11:F11,O21)+COUNTIF(E11:F11,"*,"&amp;O21&amp;",*")+COUNTIF(H11:I11,O21)+COUNTIF(H11:I11,"*,"&amp;O21&amp;",*")+COUNTIF(K11:L11,O21)+COUNTIF(K11:L11,"*,"&amp;O21&amp;",*")+COUNTIF(N11:O11,O21)+COUNTIF(N11:O11,"*,"&amp;O21&amp;",*")+COUNTIF(B13:C13,O21)+COUNTIF(B13:C13,"*,"&amp;O21&amp;",*")+COUNTIF(E13:F13,O21)+COUNTIF(E13:F13,"*,"&amp;O21&amp;",*")+COUNTIF(H13:I13,O21)+COUNTIF(H13:I13,"*,"&amp;O21&amp;",*")+COUNTIF(K13:L13,O21)+COUNTIF(K13:L13,"*,"&amp;O21&amp;",*")+COUNTIF(N13:O13,O21)+COUNTIF(N13:O13,"*,"&amp;O21&amp;",*")+COUNTIF(B15:C15,O21)+COUNTIF(B15:C15,"*,"&amp;O21&amp;",*")+COUNTIF(E15:F15,O21)+COUNTIF(E15:F15,"*,"&amp;O21&amp;",*")+COUNTIF(H15:I15,O21)+COUNTIF(H15:I15,"*,"&amp;O21&amp;",*")+COUNTIF(K15:L15,O21)+COUNTIF(K15:L15,"*,"&amp;O21&amp;",*")+COUNTIF(N15:O15,O21)+COUNTIF(N15:O15,"*,"&amp;O21&amp;",*")+COUNTIF(B17:C17,O21)+COUNTIF(B17:C17,"*,"&amp;O21&amp;",*")+COUNTIF(E17:F17,O21)+COUNTIF(E17:F17,"*,"&amp;O21&amp;",*")+COUNTIF(H17:I17,O21)+COUNTIF(H17:I17,"*,"&amp;O21&amp;",*")+COUNTIF(K17:L17,O21)+COUNTIF(K17:L17,"*,"&amp;O21&amp;",*")+COUNTIF(N17:O17,O21)+COUNTIF(N17:O17,"*,"&amp;O21&amp;",*")=0,"",COUNTIF(B5:C5,O21)+COUNTIF(B5:C5,"*,"&amp;O21&amp;",*")+COUNTIF(E5:F5,O21)+COUNTIF(E5:F5,"*,"&amp;O21&amp;",*")+COUNTIF(H5:I5,O21)+COUNTIF(H5:I5,"*,"&amp;O21&amp;",*")+COUNTIF(K5:L5,O21)+COUNTIF(K5:L5,"*,"&amp;O21&amp;",*")+COUNTIF(N5:O5,O21)+COUNTIF(N5:O5,"*,"&amp;O21&amp;",*")+COUNTIF(B7:C7,O21)+COUNTIF(B7:C7,"*,"&amp;O21&amp;",*")+COUNTIF(E7:F7,O21)+COUNTIF(E7:F7,"*,"&amp;O21&amp;",*")+COUNTIF(H7:I7,O21)+COUNTIF(H7:I7,"*,"&amp;O21&amp;",*")+COUNTIF(K7:L7,O21)+COUNTIF(K7:L7,"*,"&amp;O21&amp;",*")+COUNTIF(N7:O7,O21)+COUNTIF(N7:O7,"*,"&amp;O21&amp;",*")+COUNTIF(B9:C9,O21)+COUNTIF(B9:C9,"*,"&amp;O21&amp;",*")+COUNTIF(E9:F9,O21)+COUNTIF(E9:F9,"*,"&amp;O21&amp;",*")+COUNTIF(H9:I9,O21)+COUNTIF(H9:I9,"*,"&amp;O21&amp;",*")+COUNTIF(K9:L9,O21)+COUNTIF(K9:L9,"*,"&amp;O21&amp;",*")+COUNTIF(N9:O9,O21)+COUNTIF(N9:O9,"*,"&amp;O21&amp;",*")+COUNTIF(B11:C11,O21)+COUNTIF(B11:C11,"*,"&amp;O21&amp;",*")+COUNTIF(E11:F11,O21)+COUNTIF(E11:F11,"*,"&amp;O21&amp;",*")+COUNTIF(H11:I11,O21)+COUNTIF(H11:I11,"*,"&amp;O21&amp;",*")+COUNTIF(K11:L11,O21)+COUNTIF(K11:L11,"*,"&amp;O21&amp;",*")+COUNTIF(N11:O11,O21)+COUNTIF(N11:O11,"*,"&amp;O21&amp;",*")+COUNTIF(B13:C13,O21)+COUNTIF(B13:C13,"*,"&amp;O21&amp;",*")+COUNTIF(E13:F13,O21)+COUNTIF(E13:F13,"*,"&amp;O21&amp;",*")+COUNTIF(H13:I13,O21)+COUNTIF(H13:I13,"*,"&amp;O21&amp;",*")+COUNTIF(K13:L13,O21)+COUNTIF(K13:L13,"*,"&amp;O21&amp;",*")+COUNTIF(N13:O13,O21)+COUNTIF(N13:O13,"*,"&amp;O21&amp;",*")+COUNTIF(B15:C15,O21)+COUNTIF(B15:C15,"*,"&amp;O21&amp;",*")+COUNTIF(E15:F15,O21)+COUNTIF(E15:F15,"*,"&amp;O21&amp;",*")+COUNTIF(H15:I15,O21)+COUNTIF(H15:I15,"*,"&amp;O21&amp;",*")+COUNTIF(K15:L15,O21)+COUNTIF(K15:L15,"*,"&amp;O21&amp;",*")+COUNTIF(N15:O15,O21)+COUNTIF(N15:O15,"*,"&amp;O21&amp;",*")+COUNTIF(B17:C17,O21)+COUNTIF(B17:C17,"*,"&amp;O21&amp;",*")+COUNTIF(E17:F17,O21)+COUNTIF(E17:F17,"*,"&amp;O21&amp;",*")+COUNTIF(H17:I17,O21)+COUNTIF(H17:I17,"*,"&amp;O21&amp;",*")+COUNTIF(K17:L17,O21)+COUNTIF(K17:L17,"*,"&amp;O21&amp;",*")+COUNTIF(N17:O17,O21)+COUNTIF(N17:O17,"*,"&amp;O21&amp;",*"))</f>
        <v/>
      </c>
      <c r="P24" s="22">
        <f>IF(SUM(B24:O24)=0,"",SUM(B24:O24))</f>
        <v/>
      </c>
    </row>
    <row r="25" spans="1:16" ht="13.5" customHeight="1" x14ac:dyDescent="0.2">
      <c r="A25" s="23" t="s">
        <v>52</v>
      </c>
      <c r="B25" s="26"/>
      <c r="C25" s="26"/>
      <c r="D25" s="26"/>
      <c r="E25" s="26"/>
      <c r="F25" s="26"/>
      <c r="G25" s="26"/>
      <c r="H25" s="26"/>
      <c r="I25" s="26"/>
      <c r="J25" s="26"/>
      <c r="K25" s="26"/>
      <c r="L25" s="26"/>
      <c r="M25" s="26"/>
      <c r="N25" s="26"/>
      <c r="O25" s="24"/>
      <c r="P25" s="18">
        <f>IF(SUM(B25:O25)=0,"",SUM(B25:O25))</f>
        <v/>
      </c>
    </row>
  </sheetData>
  <sheetProtection sheet="1" objects="1" scenarios="1"/>
  <mergeCells count="104">
    <mergeCell ref="N19:P19"/>
    <mergeCell ref="A23:A24"/>
    <mergeCell ref="N17:O17"/>
    <mergeCell ref="B18:D18"/>
    <mergeCell ref="E18:G18"/>
    <mergeCell ref="H18:J18"/>
    <mergeCell ref="K18:M18"/>
    <mergeCell ref="N18:P18"/>
    <mergeCell ref="A17:A18"/>
    <mergeCell ref="B17:C17"/>
    <mergeCell ref="E17:F17"/>
    <mergeCell ref="H17:I17"/>
    <mergeCell ref="K17:L17"/>
    <mergeCell ref="B19:D19"/>
    <mergeCell ref="E19:G19"/>
    <mergeCell ref="H19:J19"/>
    <mergeCell ref="K19:M19"/>
    <mergeCell ref="A15:A16"/>
    <mergeCell ref="B15:C15"/>
    <mergeCell ref="E15:F15"/>
    <mergeCell ref="H15:I15"/>
    <mergeCell ref="K15:L15"/>
    <mergeCell ref="N15:O15"/>
    <mergeCell ref="B16:D16"/>
    <mergeCell ref="E16:G16"/>
    <mergeCell ref="H16:J16"/>
    <mergeCell ref="K16:M16"/>
    <mergeCell ref="N16:P16"/>
    <mergeCell ref="A13:A14"/>
    <mergeCell ref="B13:C13"/>
    <mergeCell ref="E13:F13"/>
    <mergeCell ref="H13:I13"/>
    <mergeCell ref="K13:L13"/>
    <mergeCell ref="N13:O13"/>
    <mergeCell ref="B14:D14"/>
    <mergeCell ref="E14:G14"/>
    <mergeCell ref="H14:J14"/>
    <mergeCell ref="K14:M14"/>
    <mergeCell ref="N14:P14"/>
    <mergeCell ref="A11:A12"/>
    <mergeCell ref="B11:C11"/>
    <mergeCell ref="E11:F11"/>
    <mergeCell ref="H11:I11"/>
    <mergeCell ref="K11:L11"/>
    <mergeCell ref="N11:O11"/>
    <mergeCell ref="B12:D12"/>
    <mergeCell ref="E12:G12"/>
    <mergeCell ref="H12:J12"/>
    <mergeCell ref="K12:M12"/>
    <mergeCell ref="N12:P12"/>
    <mergeCell ref="N8:P8"/>
    <mergeCell ref="A9:A10"/>
    <mergeCell ref="B9:C9"/>
    <mergeCell ref="E9:F9"/>
    <mergeCell ref="H9:I9"/>
    <mergeCell ref="K9:L9"/>
    <mergeCell ref="N9:O9"/>
    <mergeCell ref="B10:D10"/>
    <mergeCell ref="E10:G10"/>
    <mergeCell ref="H10:J10"/>
    <mergeCell ref="A7:A8"/>
    <mergeCell ref="B7:C7"/>
    <mergeCell ref="E7:F7"/>
    <mergeCell ref="H7:I7"/>
    <mergeCell ref="K7:L7"/>
    <mergeCell ref="N7:O7"/>
    <mergeCell ref="B8:D8"/>
    <mergeCell ref="E8:G8"/>
    <mergeCell ref="H8:J8"/>
    <mergeCell ref="K8:M8"/>
    <mergeCell ref="K10:M10"/>
    <mergeCell ref="N10:P10"/>
    <mergeCell ref="A5:A6"/>
    <mergeCell ref="B5:C5"/>
    <mergeCell ref="E5:F5"/>
    <mergeCell ref="H5:I5"/>
    <mergeCell ref="K5:L5"/>
    <mergeCell ref="N2:P2"/>
    <mergeCell ref="B3:D3"/>
    <mergeCell ref="E3:G3"/>
    <mergeCell ref="H3:J3"/>
    <mergeCell ref="K3:M3"/>
    <mergeCell ref="N3:P3"/>
    <mergeCell ref="N5:O5"/>
    <mergeCell ref="B6:D6"/>
    <mergeCell ref="E6:G6"/>
    <mergeCell ref="H6:J6"/>
    <mergeCell ref="K6:M6"/>
    <mergeCell ref="N6:P6"/>
    <mergeCell ref="B4:D4"/>
    <mergeCell ref="E4:G4"/>
    <mergeCell ref="H4:J4"/>
    <mergeCell ref="K4:M4"/>
    <mergeCell ref="N4:P4"/>
    <mergeCell ref="A1:G1"/>
    <mergeCell ref="I1:J1"/>
    <mergeCell ref="K1:L1"/>
    <mergeCell ref="M1:N1"/>
    <mergeCell ref="O1:P1"/>
    <mergeCell ref="A2:A3"/>
    <mergeCell ref="B2:D2"/>
    <mergeCell ref="E2:G2"/>
    <mergeCell ref="H2:J2"/>
    <mergeCell ref="K2:M2"/>
  </mergeCells>
  <phoneticPr fontId="5"/>
  <dataValidations count="1">
    <dataValidation type="list" allowBlank="1" showInputMessage="1" sqref="D5 P17 M17 J17 G17 D17 P15 M15 J15 G15 D15 P13 M13 J13 G13 D13 P11 M11 J11 G11 D11 P9 M9 J9 G9 D9 P7 M7 J7 G7 D7 P5 M5 J5 G5" xr:uid="{ABDCB56E-6A5B-43CA-BEE0-B2FE9C668893}">
      <formula1>"×,月1,月2,月3,月4,月5,月6,月7,火1,火2,火3,火4,火5,火6,火7,水1,水2,水3,水4,水5,水6,水7,木1,木2,木3,木4,木5,木6,木7,金1,金2,金3,金4,金5,金6,金7"</formula1>
    </dataValidation>
  </dataValidations>
  <printOptions horizontalCentered="1"/>
  <pageMargins left="0.78740157480314965" right="0.78740157480314965" top="0.78740157480314965" bottom="0.78740157480314965" header="0" footer="0"/>
  <pageSetup paperSize="9" scale="93"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tn_0">
              <controlPr defaultSize="0" print="0" autoFill="0" autoPict="0" macro="[0]!ボタン_新しい週">
                <anchor moveWithCells="1" sizeWithCells="1">
                  <from>
                    <xdr:col>17</xdr:col>
                    <xdr:colOff>60960</xdr:colOff>
                    <xdr:row>3</xdr:row>
                    <xdr:rowOff>30480</xdr:rowOff>
                  </from>
                  <to>
                    <xdr:col>18</xdr:col>
                    <xdr:colOff>533400</xdr:colOff>
                    <xdr:row>3</xdr:row>
                    <xdr:rowOff>335280</xdr:rowOff>
                  </to>
                </anchor>
              </controlPr>
            </control>
          </mc:Choice>
        </mc:AlternateContent>
        <mc:AlternateContent xmlns:mc="http://schemas.openxmlformats.org/markup-compatibility/2006">
          <mc:Choice Requires="x14">
            <control shapeId="7170" r:id="rId5" name="Btn_1">
              <controlPr defaultSize="0" print="0" autoFill="0" autoPict="0" macro="[0]!ボタン_時間割展開">
                <anchor moveWithCells="1" sizeWithCells="1">
                  <from>
                    <xdr:col>17</xdr:col>
                    <xdr:colOff>60960</xdr:colOff>
                    <xdr:row>3</xdr:row>
                    <xdr:rowOff>441960</xdr:rowOff>
                  </from>
                  <to>
                    <xdr:col>18</xdr:col>
                    <xdr:colOff>533400</xdr:colOff>
                    <xdr:row>4</xdr:row>
                    <xdr:rowOff>45720</xdr:rowOff>
                  </to>
                </anchor>
              </controlPr>
            </control>
          </mc:Choice>
        </mc:AlternateContent>
        <mc:AlternateContent xmlns:mc="http://schemas.openxmlformats.org/markup-compatibility/2006">
          <mc:Choice Requires="x14">
            <control shapeId="7171" r:id="rId6" name="Btn_2">
              <controlPr defaultSize="0" print="0" autoFill="0" autoPict="0" macro="[0]!ボタン_累計更新">
                <anchor moveWithCells="1" sizeWithCells="1">
                  <from>
                    <xdr:col>17</xdr:col>
                    <xdr:colOff>60960</xdr:colOff>
                    <xdr:row>4</xdr:row>
                    <xdr:rowOff>144780</xdr:rowOff>
                  </from>
                  <to>
                    <xdr:col>18</xdr:col>
                    <xdr:colOff>533400</xdr:colOff>
                    <xdr:row>5</xdr:row>
                    <xdr:rowOff>220980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xr:uid="{CD3F29F6-58EA-4130-9970-A59D34F46E34}">
          <x14:formula1>
            <xm:f>基本設定!$B$6:$B$20</xm:f>
          </x14:formula1>
          <xm:sqref>B5 N19 K19 H19 E19 B19 N17 K17 H17 E17 B17 N15 K15 H15 E15 B15 N13 K13 H13 E13 B13 N11 K11 H11 E11 B11 N9 K9 H9 E9 B9 N7 K7 H7 E7 B7 N5 K5 H5 E5</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D8222-A3DE-430C-9075-59B84C2580C9}">
  <sheetPr codeName="Sheet7">
    <tabColor rgb="FFC0392B"/>
    <pageSetUpPr fitToPage="1"/>
  </sheetPr>
  <dimension ref="A1:P25"/>
  <sheetViews>
    <sheetView topLeftCell="A14" workbookViewId="0">
      <selection sqref="A1:G1"/>
    </sheetView>
  </sheetViews>
  <sheetFormatPr defaultColWidth="8.77734375" defaultRowHeight="13.2" x14ac:dyDescent="0.2"/>
  <cols>
    <col min="1" max="1" width="5.44140625" customWidth="1"/>
    <col min="2" max="16" width="5.77734375" customWidth="1"/>
  </cols>
  <sheetData>
    <row r="1" spans="1:16" ht="50.1" customHeight="1" x14ac:dyDescent="0.2">
      <c r="A1" s="51" t="s">
        <v>34</v>
      </c>
      <c r="B1" s="52"/>
      <c r="C1" s="52"/>
      <c r="D1" s="52"/>
      <c r="E1" s="52"/>
      <c r="F1" s="52"/>
      <c r="G1" s="52"/>
      <c r="H1" s="8" t="s">
        <v>35</v>
      </c>
      <c r="I1" s="53" t="s">
        <v>36</v>
      </c>
      <c r="J1" s="54"/>
      <c r="K1" s="53" t="s">
        <v>37</v>
      </c>
      <c r="L1" s="54"/>
      <c r="M1" s="53" t="s">
        <v>38</v>
      </c>
      <c r="N1" s="54"/>
      <c r="O1" s="53" t="s">
        <v>39</v>
      </c>
      <c r="P1" s="54"/>
    </row>
    <row r="2" spans="1:16" ht="15.6" customHeight="1" x14ac:dyDescent="0.2">
      <c r="A2" s="55" t="s">
        <v>40</v>
      </c>
      <c r="B2" s="57" t="s">
        <v>29</v>
      </c>
      <c r="C2" s="57"/>
      <c r="D2" s="57"/>
      <c r="E2" s="59" t="s">
        <v>30</v>
      </c>
      <c r="F2" s="59"/>
      <c r="G2" s="59"/>
      <c r="H2" s="45" t="s">
        <v>31</v>
      </c>
      <c r="I2" s="45"/>
      <c r="J2" s="45"/>
      <c r="K2" s="47" t="s">
        <v>32</v>
      </c>
      <c r="L2" s="47"/>
      <c r="M2" s="47"/>
      <c r="N2" s="49" t="s">
        <v>33</v>
      </c>
      <c r="O2" s="49"/>
      <c r="P2" s="49"/>
    </row>
    <row r="3" spans="1:16" ht="15" customHeight="1" x14ac:dyDescent="0.2">
      <c r="A3" s="56"/>
      <c r="B3" s="58" t="s">
        <v>41</v>
      </c>
      <c r="C3" s="58"/>
      <c r="D3" s="58"/>
      <c r="E3" s="60" t="s">
        <v>42</v>
      </c>
      <c r="F3" s="60"/>
      <c r="G3" s="60"/>
      <c r="H3" s="46" t="s">
        <v>43</v>
      </c>
      <c r="I3" s="46"/>
      <c r="J3" s="46"/>
      <c r="K3" s="48" t="s">
        <v>44</v>
      </c>
      <c r="L3" s="48"/>
      <c r="M3" s="48"/>
      <c r="N3" s="50" t="s">
        <v>45</v>
      </c>
      <c r="O3" s="50"/>
      <c r="P3" s="50"/>
    </row>
    <row r="4" spans="1:16" ht="54.9" customHeight="1" x14ac:dyDescent="0.2">
      <c r="A4" s="9" t="s">
        <v>46</v>
      </c>
      <c r="B4" s="40"/>
      <c r="C4" s="40"/>
      <c r="D4" s="40"/>
      <c r="E4" s="41"/>
      <c r="F4" s="41"/>
      <c r="G4" s="41"/>
      <c r="H4" s="42"/>
      <c r="I4" s="42"/>
      <c r="J4" s="42"/>
      <c r="K4" s="43"/>
      <c r="L4" s="43"/>
      <c r="M4" s="43"/>
      <c r="N4" s="44"/>
      <c r="O4" s="44"/>
      <c r="P4" s="44"/>
    </row>
    <row r="5" spans="1:16" ht="18" customHeight="1" x14ac:dyDescent="0.2">
      <c r="A5" s="39">
        <v>1</v>
      </c>
      <c r="B5" s="37"/>
      <c r="C5" s="37"/>
      <c r="D5" s="25"/>
      <c r="E5" s="37"/>
      <c r="F5" s="37"/>
      <c r="G5" s="25"/>
      <c r="H5" s="37"/>
      <c r="I5" s="37"/>
      <c r="J5" s="25"/>
      <c r="K5" s="37"/>
      <c r="L5" s="37"/>
      <c r="M5" s="25"/>
      <c r="N5" s="37"/>
      <c r="O5" s="37"/>
      <c r="P5" s="25"/>
    </row>
    <row r="6" spans="1:16" ht="62.1" customHeight="1" x14ac:dyDescent="0.2">
      <c r="A6" s="39"/>
      <c r="B6" s="38"/>
      <c r="C6" s="38"/>
      <c r="D6" s="38"/>
      <c r="E6" s="38"/>
      <c r="F6" s="38"/>
      <c r="G6" s="38"/>
      <c r="H6" s="38"/>
      <c r="I6" s="38"/>
      <c r="J6" s="38"/>
      <c r="K6" s="38"/>
      <c r="L6" s="38"/>
      <c r="M6" s="38"/>
      <c r="N6" s="38"/>
      <c r="O6" s="38"/>
      <c r="P6" s="38"/>
    </row>
    <row r="7" spans="1:16" ht="18" customHeight="1" x14ac:dyDescent="0.2">
      <c r="A7" s="39">
        <v>2</v>
      </c>
      <c r="B7" s="37"/>
      <c r="C7" s="37"/>
      <c r="D7" s="25"/>
      <c r="E7" s="37"/>
      <c r="F7" s="37"/>
      <c r="G7" s="25"/>
      <c r="H7" s="37"/>
      <c r="I7" s="37"/>
      <c r="J7" s="25"/>
      <c r="K7" s="37"/>
      <c r="L7" s="37"/>
      <c r="M7" s="25"/>
      <c r="N7" s="37"/>
      <c r="O7" s="37"/>
      <c r="P7" s="25"/>
    </row>
    <row r="8" spans="1:16" ht="62.1" customHeight="1" x14ac:dyDescent="0.2">
      <c r="A8" s="39"/>
      <c r="B8" s="38"/>
      <c r="C8" s="38"/>
      <c r="D8" s="38"/>
      <c r="E8" s="38"/>
      <c r="F8" s="38"/>
      <c r="G8" s="38"/>
      <c r="H8" s="38"/>
      <c r="I8" s="38"/>
      <c r="J8" s="38"/>
      <c r="K8" s="38"/>
      <c r="L8" s="38"/>
      <c r="M8" s="38"/>
      <c r="N8" s="38"/>
      <c r="O8" s="38"/>
      <c r="P8" s="38"/>
    </row>
    <row r="9" spans="1:16" ht="18" customHeight="1" x14ac:dyDescent="0.2">
      <c r="A9" s="39">
        <v>3</v>
      </c>
      <c r="B9" s="37"/>
      <c r="C9" s="37"/>
      <c r="D9" s="25"/>
      <c r="E9" s="37"/>
      <c r="F9" s="37"/>
      <c r="G9" s="25"/>
      <c r="H9" s="37"/>
      <c r="I9" s="37"/>
      <c r="J9" s="25"/>
      <c r="K9" s="37"/>
      <c r="L9" s="37"/>
      <c r="M9" s="25"/>
      <c r="N9" s="37"/>
      <c r="O9" s="37"/>
      <c r="P9" s="25"/>
    </row>
    <row r="10" spans="1:16" ht="62.1" customHeight="1" x14ac:dyDescent="0.2">
      <c r="A10" s="39"/>
      <c r="B10" s="38"/>
      <c r="C10" s="38"/>
      <c r="D10" s="38"/>
      <c r="E10" s="38"/>
      <c r="F10" s="38"/>
      <c r="G10" s="38"/>
      <c r="H10" s="38"/>
      <c r="I10" s="38"/>
      <c r="J10" s="38"/>
      <c r="K10" s="38"/>
      <c r="L10" s="38"/>
      <c r="M10" s="38"/>
      <c r="N10" s="38"/>
      <c r="O10" s="38"/>
      <c r="P10" s="38"/>
    </row>
    <row r="11" spans="1:16" ht="18" customHeight="1" x14ac:dyDescent="0.2">
      <c r="A11" s="39">
        <v>4</v>
      </c>
      <c r="B11" s="37"/>
      <c r="C11" s="37"/>
      <c r="D11" s="25"/>
      <c r="E11" s="37"/>
      <c r="F11" s="37"/>
      <c r="G11" s="25"/>
      <c r="H11" s="37"/>
      <c r="I11" s="37"/>
      <c r="J11" s="25"/>
      <c r="K11" s="37"/>
      <c r="L11" s="37"/>
      <c r="M11" s="25"/>
      <c r="N11" s="37"/>
      <c r="O11" s="37"/>
      <c r="P11" s="25"/>
    </row>
    <row r="12" spans="1:16" ht="62.1" customHeight="1" x14ac:dyDescent="0.2">
      <c r="A12" s="39"/>
      <c r="B12" s="38"/>
      <c r="C12" s="38"/>
      <c r="D12" s="38"/>
      <c r="E12" s="38"/>
      <c r="F12" s="38"/>
      <c r="G12" s="38"/>
      <c r="H12" s="38"/>
      <c r="I12" s="38"/>
      <c r="J12" s="38"/>
      <c r="K12" s="38"/>
      <c r="L12" s="38"/>
      <c r="M12" s="38"/>
      <c r="N12" s="38"/>
      <c r="O12" s="38"/>
      <c r="P12" s="38"/>
    </row>
    <row r="13" spans="1:16" ht="18" customHeight="1" x14ac:dyDescent="0.2">
      <c r="A13" s="39">
        <v>5</v>
      </c>
      <c r="B13" s="37"/>
      <c r="C13" s="37"/>
      <c r="D13" s="25"/>
      <c r="E13" s="37"/>
      <c r="F13" s="37"/>
      <c r="G13" s="25"/>
      <c r="H13" s="37"/>
      <c r="I13" s="37"/>
      <c r="J13" s="25"/>
      <c r="K13" s="37"/>
      <c r="L13" s="37"/>
      <c r="M13" s="25"/>
      <c r="N13" s="37"/>
      <c r="O13" s="37"/>
      <c r="P13" s="25"/>
    </row>
    <row r="14" spans="1:16" ht="62.1" customHeight="1" x14ac:dyDescent="0.2">
      <c r="A14" s="39"/>
      <c r="B14" s="38"/>
      <c r="C14" s="38"/>
      <c r="D14" s="38"/>
      <c r="E14" s="38"/>
      <c r="F14" s="38"/>
      <c r="G14" s="38"/>
      <c r="H14" s="38"/>
      <c r="I14" s="38"/>
      <c r="J14" s="38"/>
      <c r="K14" s="38"/>
      <c r="L14" s="38"/>
      <c r="M14" s="38"/>
      <c r="N14" s="38"/>
      <c r="O14" s="38"/>
      <c r="P14" s="38"/>
    </row>
    <row r="15" spans="1:16" ht="18" customHeight="1" x14ac:dyDescent="0.2">
      <c r="A15" s="39">
        <v>6</v>
      </c>
      <c r="B15" s="37"/>
      <c r="C15" s="37"/>
      <c r="D15" s="25"/>
      <c r="E15" s="37"/>
      <c r="F15" s="37"/>
      <c r="G15" s="25"/>
      <c r="H15" s="37"/>
      <c r="I15" s="37"/>
      <c r="J15" s="25"/>
      <c r="K15" s="37"/>
      <c r="L15" s="37"/>
      <c r="M15" s="25"/>
      <c r="N15" s="37"/>
      <c r="O15" s="37"/>
      <c r="P15" s="25"/>
    </row>
    <row r="16" spans="1:16" ht="62.1" customHeight="1" x14ac:dyDescent="0.2">
      <c r="A16" s="39"/>
      <c r="B16" s="38"/>
      <c r="C16" s="38"/>
      <c r="D16" s="38"/>
      <c r="E16" s="38"/>
      <c r="F16" s="38"/>
      <c r="G16" s="38"/>
      <c r="H16" s="38"/>
      <c r="I16" s="38"/>
      <c r="J16" s="38"/>
      <c r="K16" s="38"/>
      <c r="L16" s="38"/>
      <c r="M16" s="38"/>
      <c r="N16" s="38"/>
      <c r="O16" s="38"/>
      <c r="P16" s="38"/>
    </row>
    <row r="17" spans="1:16" ht="18" customHeight="1" x14ac:dyDescent="0.2">
      <c r="A17" s="39">
        <v>7</v>
      </c>
      <c r="B17" s="37"/>
      <c r="C17" s="37"/>
      <c r="D17" s="25"/>
      <c r="E17" s="37"/>
      <c r="F17" s="37"/>
      <c r="G17" s="25"/>
      <c r="H17" s="37"/>
      <c r="I17" s="37"/>
      <c r="J17" s="25"/>
      <c r="K17" s="37"/>
      <c r="L17" s="37"/>
      <c r="M17" s="25"/>
      <c r="N17" s="37"/>
      <c r="O17" s="37"/>
      <c r="P17" s="25"/>
    </row>
    <row r="18" spans="1:16" ht="62.1" customHeight="1" x14ac:dyDescent="0.2">
      <c r="A18" s="39"/>
      <c r="B18" s="38"/>
      <c r="C18" s="38"/>
      <c r="D18" s="38"/>
      <c r="E18" s="38"/>
      <c r="F18" s="38"/>
      <c r="G18" s="38"/>
      <c r="H18" s="38"/>
      <c r="I18" s="38"/>
      <c r="J18" s="38"/>
      <c r="K18" s="38"/>
      <c r="L18" s="38"/>
      <c r="M18" s="38"/>
      <c r="N18" s="38"/>
      <c r="O18" s="38"/>
      <c r="P18" s="38"/>
    </row>
    <row r="19" spans="1:16" ht="54.9" customHeight="1" x14ac:dyDescent="0.2">
      <c r="A19" s="10" t="s">
        <v>47</v>
      </c>
      <c r="B19" s="34"/>
      <c r="C19" s="34"/>
      <c r="D19" s="34"/>
      <c r="E19" s="34"/>
      <c r="F19" s="34"/>
      <c r="G19" s="34"/>
      <c r="H19" s="34"/>
      <c r="I19" s="34"/>
      <c r="J19" s="34"/>
      <c r="K19" s="34"/>
      <c r="L19" s="34"/>
      <c r="M19" s="34"/>
      <c r="N19" s="34"/>
      <c r="O19" s="34"/>
      <c r="P19" s="34"/>
    </row>
    <row r="20" spans="1:16" hidden="1" x14ac:dyDescent="0.2">
      <c r="A20" s="11"/>
      <c r="B20" s="11"/>
      <c r="C20" s="11"/>
      <c r="D20" s="11"/>
      <c r="E20" s="11"/>
      <c r="F20" s="11"/>
      <c r="G20" s="11"/>
      <c r="H20" s="11"/>
      <c r="I20" s="11"/>
      <c r="J20" s="11"/>
      <c r="K20" s="11"/>
      <c r="L20" s="11"/>
      <c r="M20" s="11"/>
      <c r="N20" s="11"/>
      <c r="O20" s="11"/>
      <c r="P20" s="11"/>
    </row>
    <row r="21" spans="1:16" ht="13.5" customHeight="1" x14ac:dyDescent="0.2">
      <c r="A21" s="12" t="s">
        <v>48</v>
      </c>
      <c r="B21" s="12">
        <f>IF(基本設定!B6="","",基本設定!B6)</f>
      </c>
      <c r="C21" s="12">
        <f>IF(基本設定!B7="","",基本設定!B7)</f>
      </c>
      <c r="D21" s="12">
        <f>IF(基本設定!B8="","",基本設定!B8)</f>
      </c>
      <c r="E21" s="12">
        <f>IF(基本設定!B9="","",基本設定!B9)</f>
      </c>
      <c r="F21" s="12">
        <f>IF(基本設定!B10="","",基本設定!B10)</f>
      </c>
      <c r="G21" s="12">
        <f>IF(基本設定!B11="","",基本設定!B11)</f>
      </c>
      <c r="H21" s="12"/>
      <c r="I21" s="12"/>
      <c r="J21" s="12"/>
      <c r="K21" s="12"/>
      <c r="L21" s="12"/>
      <c r="M21" s="13" t="s">
        <v>53</v>
      </c>
      <c r="N21" s="12" t="s">
        <v>20</v>
      </c>
      <c r="O21" s="12" t="s">
        <v>22</v>
      </c>
      <c r="P21" s="14" t="s">
        <v>49</v>
      </c>
    </row>
    <row r="22" spans="1:16" ht="13.5" customHeight="1" x14ac:dyDescent="0.2">
      <c r="A22" s="15" t="s">
        <v>50</v>
      </c>
      <c r="B22" s="16">
        <f>IF(B21="","",IFERROR(VALUE(VLOOKUP(B21,基本設定!$A$23:$B$35,2,FALSE())),""))</f>
      </c>
      <c r="C22" s="16">
        <f>IF(C21="","",IFERROR(VALUE(VLOOKUP(C21,基本設定!$A$23:$B$35,2,FALSE())),""))</f>
      </c>
      <c r="D22" s="16">
        <f>IF(D21="","",IFERROR(VALUE(VLOOKUP(D21,基本設定!$A$23:$B$35,2,FALSE())),""))</f>
      </c>
      <c r="E22" s="16">
        <f>IF(E21="","",IFERROR(VALUE(VLOOKUP(E21,基本設定!$A$23:$B$35,2,FALSE())),""))</f>
      </c>
      <c r="F22" s="16">
        <f>IF(F21="","",IFERROR(VALUE(VLOOKUP(F21,基本設定!$A$23:$B$35,2,FALSE())),""))</f>
      </c>
      <c r="G22" s="16">
        <f>IF(G21="","",IFERROR(VALUE(VLOOKUP(G21,基本設定!$A$23:$B$35,2,FALSE())),""))</f>
      </c>
      <c r="H22" s="17"/>
      <c r="I22" s="17"/>
      <c r="J22" s="17"/>
      <c r="K22" s="17"/>
      <c r="L22" s="17"/>
      <c r="M22" s="17">
        <v>1</v>
      </c>
      <c r="N22" s="17">
        <f>IF(N21="","",IFERROR(VALUE(VLOOKUP(N21,基本設定!$A$23:$B$35,2,FALSE())),""))</f>
      </c>
      <c r="O22" s="17">
        <f>IF(O21="","",IFERROR(VALUE(VLOOKUP(O21,基本設定!$A$23:$B$35,2,FALSE())),""))</f>
      </c>
      <c r="P22" s="18">
        <f>IF(SUM(B22:O22)=0,"",SUM(B22:O22))</f>
      </c>
    </row>
    <row r="23" spans="1:16" ht="13.5" customHeight="1" x14ac:dyDescent="0.2">
      <c r="A23" s="35" t="s">
        <v>51</v>
      </c>
      <c r="B23" s="19">
        <f>IF(B21="","",IF(B24="","",B24-(SUMPRODUCT((B5:C5=B21)*(D5="×"))+SUMPRODUCT((E5:F5=B21)*(G5="×"))+SUMPRODUCT((H5:I5=B21)*(J5="×"))+SUMPRODUCT((K5:L5=B21)*(M5="×"))+SUMPRODUCT((N5:O5=B21)*(P5="×"))+SUMPRODUCT((B7:C7=B21)*(D7="×"))+SUMPRODUCT((E7:F7=B21)*(G7="×"))+SUMPRODUCT((H7:I7=B21)*(J7="×"))+SUMPRODUCT((K7:L7=B21)*(M7="×"))+SUMPRODUCT((N7:O7=B21)*(P7="×"))+SUMPRODUCT((B9:C9=B21)*(D9="×"))+SUMPRODUCT((E9:F9=B21)*(G9="×"))+SUMPRODUCT((H9:I9=B21)*(J9="×"))+SUMPRODUCT((K9:L9=B21)*(M9="×"))+SUMPRODUCT((N9:O9=B21)*(P9="×"))+SUMPRODUCT((B11:C11=B21)*(D11="×"))+SUMPRODUCT((E11:F11=B21)*(G11="×"))+SUMPRODUCT((H11:I11=B21)*(J11="×"))+SUMPRODUCT((K11:L11=B21)*(M11="×"))+SUMPRODUCT((N11:O11=B21)*(P11="×"))+SUMPRODUCT((B13:C13=B21)*(D13="×"))+SUMPRODUCT((E13:F13=B21)*(G13="×"))+SUMPRODUCT((H13:I13=B21)*(J13="×"))+SUMPRODUCT((K13:L13=B21)*(M13="×"))+SUMPRODUCT((N13:O13=B21)*(P13="×"))+SUMPRODUCT((B15:C15=B21)*(D15="×"))+SUMPRODUCT((E15:F15=B21)*(G15="×"))+SUMPRODUCT((H15:I15=B21)*(J15="×"))+SUMPRODUCT((K15:L15=B21)*(M15="×"))+SUMPRODUCT((N15:O15=B21)*(P15="×"))+SUMPRODUCT((B17:C17=B21)*(D17="×"))+SUMPRODUCT((E17:F17=B21)*(G17="×"))+SUMPRODUCT((H17:I17=B21)*(J17="×"))+SUMPRODUCT((K17:L17=B21)*(M17="×"))+SUMPRODUCT((N17:O17=B21)*(P17="×")))))</f>
        <v/>
      </c>
      <c r="C23" s="19">
        <f>IF(C21="","",IF(C24="","",C24-(SUMPRODUCT((B5:C5=C21)*(D5="×"))+SUMPRODUCT((E5:F5=C21)*(G5="×"))+SUMPRODUCT((H5:I5=C21)*(J5="×"))+SUMPRODUCT((K5:L5=C21)*(M5="×"))+SUMPRODUCT((N5:O5=C21)*(P5="×"))+SUMPRODUCT((B7:C7=C21)*(D7="×"))+SUMPRODUCT((E7:F7=C21)*(G7="×"))+SUMPRODUCT((H7:I7=C21)*(J7="×"))+SUMPRODUCT((K7:L7=C21)*(M7="×"))+SUMPRODUCT((N7:O7=C21)*(P7="×"))+SUMPRODUCT((B9:C9=C21)*(D9="×"))+SUMPRODUCT((E9:F9=C21)*(G9="×"))+SUMPRODUCT((H9:I9=C21)*(J9="×"))+SUMPRODUCT((K9:L9=C21)*(M9="×"))+SUMPRODUCT((N9:O9=C21)*(P9="×"))+SUMPRODUCT((B11:C11=C21)*(D11="×"))+SUMPRODUCT((E11:F11=C21)*(G11="×"))+SUMPRODUCT((H11:I11=C21)*(J11="×"))+SUMPRODUCT((K11:L11=C21)*(M11="×"))+SUMPRODUCT((N11:O11=C21)*(P11="×"))+SUMPRODUCT((B13:C13=C21)*(D13="×"))+SUMPRODUCT((E13:F13=C21)*(G13="×"))+SUMPRODUCT((H13:I13=C21)*(J13="×"))+SUMPRODUCT((K13:L13=C21)*(M13="×"))+SUMPRODUCT((N13:O13=C21)*(P13="×"))+SUMPRODUCT((B15:C15=C21)*(D15="×"))+SUMPRODUCT((E15:F15=C21)*(G15="×"))+SUMPRODUCT((H15:I15=C21)*(J15="×"))+SUMPRODUCT((K15:L15=C21)*(M15="×"))+SUMPRODUCT((N15:O15=C21)*(P15="×"))+SUMPRODUCT((B17:C17=C21)*(D17="×"))+SUMPRODUCT((E17:F17=C21)*(G17="×"))+SUMPRODUCT((H17:I17=C21)*(J17="×"))+SUMPRODUCT((K17:L17=C21)*(M17="×"))+SUMPRODUCT((N17:O17=C21)*(P17="×")))))</f>
        <v/>
      </c>
      <c r="D23" s="19">
        <f>IF(D21="","",IF(D24="","",D24-(SUMPRODUCT((B5:C5=D21)*(D5="×"))+SUMPRODUCT((E5:F5=D21)*(G5="×"))+SUMPRODUCT((H5:I5=D21)*(J5="×"))+SUMPRODUCT((K5:L5=D21)*(M5="×"))+SUMPRODUCT((N5:O5=D21)*(P5="×"))+SUMPRODUCT((B7:C7=D21)*(D7="×"))+SUMPRODUCT((E7:F7=D21)*(G7="×"))+SUMPRODUCT((H7:I7=D21)*(J7="×"))+SUMPRODUCT((K7:L7=D21)*(M7="×"))+SUMPRODUCT((N7:O7=D21)*(P7="×"))+SUMPRODUCT((B9:C9=D21)*(D9="×"))+SUMPRODUCT((E9:F9=D21)*(G9="×"))+SUMPRODUCT((H9:I9=D21)*(J9="×"))+SUMPRODUCT((K9:L9=D21)*(M9="×"))+SUMPRODUCT((N9:O9=D21)*(P9="×"))+SUMPRODUCT((B11:C11=D21)*(D11="×"))+SUMPRODUCT((E11:F11=D21)*(G11="×"))+SUMPRODUCT((H11:I11=D21)*(J11="×"))+SUMPRODUCT((K11:L11=D21)*(M11="×"))+SUMPRODUCT((N11:O11=D21)*(P11="×"))+SUMPRODUCT((B13:C13=D21)*(D13="×"))+SUMPRODUCT((E13:F13=D21)*(G13="×"))+SUMPRODUCT((H13:I13=D21)*(J13="×"))+SUMPRODUCT((K13:L13=D21)*(M13="×"))+SUMPRODUCT((N13:O13=D21)*(P13="×"))+SUMPRODUCT((B15:C15=D21)*(D15="×"))+SUMPRODUCT((E15:F15=D21)*(G15="×"))+SUMPRODUCT((H15:I15=D21)*(J15="×"))+SUMPRODUCT((K15:L15=D21)*(M15="×"))+SUMPRODUCT((N15:O15=D21)*(P15="×"))+SUMPRODUCT((B17:C17=D21)*(D17="×"))+SUMPRODUCT((E17:F17=D21)*(G17="×"))+SUMPRODUCT((H17:I17=D21)*(J17="×"))+SUMPRODUCT((K17:L17=D21)*(M17="×"))+SUMPRODUCT((N17:O17=D21)*(P17="×")))))</f>
        <v/>
      </c>
      <c r="E23" s="19">
        <f>IF(E21="","",IF(E24="","",E24-(SUMPRODUCT((B5:C5=E21)*(D5="×"))+SUMPRODUCT((E5:F5=E21)*(G5="×"))+SUMPRODUCT((H5:I5=E21)*(J5="×"))+SUMPRODUCT((K5:L5=E21)*(M5="×"))+SUMPRODUCT((N5:O5=E21)*(P5="×"))+SUMPRODUCT((B7:C7=E21)*(D7="×"))+SUMPRODUCT((E7:F7=E21)*(G7="×"))+SUMPRODUCT((H7:I7=E21)*(J7="×"))+SUMPRODUCT((K7:L7=E21)*(M7="×"))+SUMPRODUCT((N7:O7=E21)*(P7="×"))+SUMPRODUCT((B9:C9=E21)*(D9="×"))+SUMPRODUCT((E9:F9=E21)*(G9="×"))+SUMPRODUCT((H9:I9=E21)*(J9="×"))+SUMPRODUCT((K9:L9=E21)*(M9="×"))+SUMPRODUCT((N9:O9=E21)*(P9="×"))+SUMPRODUCT((B11:C11=E21)*(D11="×"))+SUMPRODUCT((E11:F11=E21)*(G11="×"))+SUMPRODUCT((H11:I11=E21)*(J11="×"))+SUMPRODUCT((K11:L11=E21)*(M11="×"))+SUMPRODUCT((N11:O11=E21)*(P11="×"))+SUMPRODUCT((B13:C13=E21)*(D13="×"))+SUMPRODUCT((E13:F13=E21)*(G13="×"))+SUMPRODUCT((H13:I13=E21)*(J13="×"))+SUMPRODUCT((K13:L13=E21)*(M13="×"))+SUMPRODUCT((N13:O13=E21)*(P13="×"))+SUMPRODUCT((B15:C15=E21)*(D15="×"))+SUMPRODUCT((E15:F15=E21)*(G15="×"))+SUMPRODUCT((H15:I15=E21)*(J15="×"))+SUMPRODUCT((K15:L15=E21)*(M15="×"))+SUMPRODUCT((N15:O15=E21)*(P15="×"))+SUMPRODUCT((B17:C17=E21)*(D17="×"))+SUMPRODUCT((E17:F17=E21)*(G17="×"))+SUMPRODUCT((H17:I17=E21)*(J17="×"))+SUMPRODUCT((K17:L17=E21)*(M17="×"))+SUMPRODUCT((N17:O17=E21)*(P17="×")))))</f>
        <v/>
      </c>
      <c r="F23" s="19">
        <f>IF(F21="","",IF(F24="","",F24-(SUMPRODUCT((B5:C5=F21)*(D5="×"))+SUMPRODUCT((E5:F5=F21)*(G5="×"))+SUMPRODUCT((H5:I5=F21)*(J5="×"))+SUMPRODUCT((K5:L5=F21)*(M5="×"))+SUMPRODUCT((N5:O5=F21)*(P5="×"))+SUMPRODUCT((B7:C7=F21)*(D7="×"))+SUMPRODUCT((E7:F7=F21)*(G7="×"))+SUMPRODUCT((H7:I7=F21)*(J7="×"))+SUMPRODUCT((K7:L7=F21)*(M7="×"))+SUMPRODUCT((N7:O7=F21)*(P7="×"))+SUMPRODUCT((B9:C9=F21)*(D9="×"))+SUMPRODUCT((E9:F9=F21)*(G9="×"))+SUMPRODUCT((H9:I9=F21)*(J9="×"))+SUMPRODUCT((K9:L9=F21)*(M9="×"))+SUMPRODUCT((N9:O9=F21)*(P9="×"))+SUMPRODUCT((B11:C11=F21)*(D11="×"))+SUMPRODUCT((E11:F11=F21)*(G11="×"))+SUMPRODUCT((H11:I11=F21)*(J11="×"))+SUMPRODUCT((K11:L11=F21)*(M11="×"))+SUMPRODUCT((N11:O11=F21)*(P11="×"))+SUMPRODUCT((B13:C13=F21)*(D13="×"))+SUMPRODUCT((E13:F13=F21)*(G13="×"))+SUMPRODUCT((H13:I13=F21)*(J13="×"))+SUMPRODUCT((K13:L13=F21)*(M13="×"))+SUMPRODUCT((N13:O13=F21)*(P13="×"))+SUMPRODUCT((B15:C15=F21)*(D15="×"))+SUMPRODUCT((E15:F15=F21)*(G15="×"))+SUMPRODUCT((H15:I15=F21)*(J15="×"))+SUMPRODUCT((K15:L15=F21)*(M15="×"))+SUMPRODUCT((N15:O15=F21)*(P15="×"))+SUMPRODUCT((B17:C17=F21)*(D17="×"))+SUMPRODUCT((E17:F17=F21)*(G17="×"))+SUMPRODUCT((H17:I17=F21)*(J17="×"))+SUMPRODUCT((K17:L17=F21)*(M17="×"))+SUMPRODUCT((N17:O17=F21)*(P17="×")))))</f>
        <v/>
      </c>
      <c r="G23" s="19">
        <f>IF(G21="","",IF(G24="","",G24-(SUMPRODUCT((B5:C5=G21)*(D5="×"))+SUMPRODUCT((E5:F5=G21)*(G5="×"))+SUMPRODUCT((H5:I5=G21)*(J5="×"))+SUMPRODUCT((K5:L5=G21)*(M5="×"))+SUMPRODUCT((N5:O5=G21)*(P5="×"))+SUMPRODUCT((B7:C7=G21)*(D7="×"))+SUMPRODUCT((E7:F7=G21)*(G7="×"))+SUMPRODUCT((H7:I7=G21)*(J7="×"))+SUMPRODUCT((K7:L7=G21)*(M7="×"))+SUMPRODUCT((N7:O7=G21)*(P7="×"))+SUMPRODUCT((B9:C9=G21)*(D9="×"))+SUMPRODUCT((E9:F9=G21)*(G9="×"))+SUMPRODUCT((H9:I9=G21)*(J9="×"))+SUMPRODUCT((K9:L9=G21)*(M9="×"))+SUMPRODUCT((N9:O9=G21)*(P9="×"))+SUMPRODUCT((B11:C11=G21)*(D11="×"))+SUMPRODUCT((E11:F11=G21)*(G11="×"))+SUMPRODUCT((H11:I11=G21)*(J11="×"))+SUMPRODUCT((K11:L11=G21)*(M11="×"))+SUMPRODUCT((N11:O11=G21)*(P11="×"))+SUMPRODUCT((B13:C13=G21)*(D13="×"))+SUMPRODUCT((E13:F13=G21)*(G13="×"))+SUMPRODUCT((H13:I13=G21)*(J13="×"))+SUMPRODUCT((K13:L13=G21)*(M13="×"))+SUMPRODUCT((N13:O13=G21)*(P13="×"))+SUMPRODUCT((B15:C15=G21)*(D15="×"))+SUMPRODUCT((E15:F15=G21)*(G15="×"))+SUMPRODUCT((H15:I15=G21)*(J15="×"))+SUMPRODUCT((K15:L15=G21)*(M15="×"))+SUMPRODUCT((N15:O15=G21)*(P15="×"))+SUMPRODUCT((B17:C17=G21)*(D17="×"))+SUMPRODUCT((E17:F17=G21)*(G17="×"))+SUMPRODUCT((H17:I17=G21)*(J17="×"))+SUMPRODUCT((K17:L17=G21)*(M17="×"))+SUMPRODUCT((N17:O17=G21)*(P17="×")))))</f>
        <v/>
      </c>
      <c r="H23" s="19"/>
      <c r="I23" s="19"/>
      <c r="J23" s="19"/>
      <c r="K23" s="19"/>
      <c r="L23" s="19"/>
      <c r="M23" s="19">
        <f>IF(M24="","",M24-(SUMPRODUCT((B5:C5="特活")*(D5="×"))+SUMPRODUCT((B5:C5="学活")*(D5="×"))+SUMPRODUCT((E5:F5="特活")*(G5="×"))+SUMPRODUCT((E5:F5="学活")*(G5="×"))+SUMPRODUCT((H5:I5="特活")*(J5="×"))+SUMPRODUCT((H5:I5="学活")*(J5="×"))+SUMPRODUCT((K5:L5="特活")*(M5="×"))+SUMPRODUCT((K5:L5="学活")*(M5="×"))+SUMPRODUCT((N5:O5="特活")*(P5="×"))+SUMPRODUCT((N5:O5="学活")*(P5="×"))+SUMPRODUCT((B7:C7="特活")*(D7="×"))+SUMPRODUCT((B7:C7="学活")*(D7="×"))+SUMPRODUCT((E7:F7="特活")*(G7="×"))+SUMPRODUCT((E7:F7="学活")*(G7="×"))+SUMPRODUCT((H7:I7="特活")*(J7="×"))+SUMPRODUCT((H7:I7="学活")*(J7="×"))+SUMPRODUCT((K7:L7="特活")*(M7="×"))+SUMPRODUCT((K7:L7="学活")*(M7="×"))+SUMPRODUCT((N7:O7="特活")*(P7="×"))+SUMPRODUCT((N7:O7="学活")*(P7="×"))+SUMPRODUCT((B9:C9="特活")*(D9="×"))+SUMPRODUCT((B9:C9="学活")*(D9="×"))+SUMPRODUCT((E9:F9="特活")*(G9="×"))+SUMPRODUCT((E9:F9="学活")*(G9="×"))+SUMPRODUCT((H9:I9="特活")*(J9="×"))+SUMPRODUCT((H9:I9="学活")*(J9="×"))+SUMPRODUCT((K9:L9="特活")*(M9="×"))+SUMPRODUCT((K9:L9="学活")*(M9="×"))+SUMPRODUCT((N9:O9="特活")*(P9="×"))+SUMPRODUCT((N9:O9="学活")*(P9="×"))+SUMPRODUCT((B11:C11="特活")*(D11="×"))+SUMPRODUCT((B11:C11="学活")*(D11="×"))+SUMPRODUCT((E11:F11="特活")*(G11="×"))+SUMPRODUCT((E11:F11="学活")*(G11="×"))+SUMPRODUCT((H11:I11="特活")*(J11="×"))+SUMPRODUCT((H11:I11="学活")*(J11="×"))+SUMPRODUCT((K11:L11="特活")*(M11="×"))+SUMPRODUCT((K11:L11="学活")*(M11="×"))+SUMPRODUCT((N11:O11="特活")*(P11="×"))+SUMPRODUCT((N11:O11="学活")*(P11="×"))+SUMPRODUCT((B13:C13="特活")*(D13="×"))+SUMPRODUCT((B13:C13="学活")*(D13="×"))+SUMPRODUCT((E13:F13="特活")*(G13="×"))+SUMPRODUCT((E13:F13="学活")*(G13="×"))+SUMPRODUCT((H13:I13="特活")*(J13="×"))+SUMPRODUCT((H13:I13="学活")*(J13="×"))+SUMPRODUCT((K13:L13="特活")*(M13="×"))+SUMPRODUCT((K13:L13="学活")*(M13="×"))+SUMPRODUCT((N13:O13="特活")*(P13="×"))+SUMPRODUCT((N13:O13="学活")*(P13="×"))+SUMPRODUCT((B15:C15="特活")*(D15="×"))+SUMPRODUCT((B15:C15="学活")*(D15="×"))+SUMPRODUCT((E15:F15="特活")*(G15="×"))+SUMPRODUCT((E15:F15="学活")*(G15="×"))+SUMPRODUCT((H15:I15="特活")*(J15="×"))+SUMPRODUCT((H15:I15="学活")*(J15="×"))+SUMPRODUCT((K15:L15="特活")*(M15="×"))+SUMPRODUCT((K15:L15="学活")*(M15="×"))+SUMPRODUCT((N15:O15="特活")*(P15="×"))+SUMPRODUCT((N15:O15="学活")*(P15="×"))+SUMPRODUCT((B17:C17="特活")*(D17="×"))+SUMPRODUCT((B17:C17="学活")*(D17="×"))+SUMPRODUCT((E17:F17="特活")*(G17="×"))+SUMPRODUCT((E17:F17="学活")*(G17="×"))+SUMPRODUCT((H17:I17="特活")*(J17="×"))+SUMPRODUCT((H17:I17="学活")*(J17="×"))+SUMPRODUCT((K17:L17="特活")*(M17="×"))+SUMPRODUCT((K17:L17="学活")*(M17="×"))+SUMPRODUCT((N17:O17="特活")*(P17="×"))+SUMPRODUCT((N17:O17="学活")*(P17="×"))))</f>
        <v/>
      </c>
      <c r="N23" s="19">
        <f>IF(N24="","",N24-(SUMPRODUCT((B5:C5=N21)*(D5="×"))+SUMPRODUCT((E5:F5=N21)*(G5="×"))+SUMPRODUCT((H5:I5=N21)*(J5="×"))+SUMPRODUCT((K5:L5=N21)*(M5="×"))+SUMPRODUCT((N5:O5=N21)*(P5="×"))+SUMPRODUCT((B7:C7=N21)*(D7="×"))+SUMPRODUCT((E7:F7=N21)*(G7="×"))+SUMPRODUCT((H7:I7=N21)*(J7="×"))+SUMPRODUCT((K7:L7=N21)*(M7="×"))+SUMPRODUCT((N7:O7=N21)*(P7="×"))+SUMPRODUCT((B9:C9=N21)*(D9="×"))+SUMPRODUCT((E9:F9=N21)*(G9="×"))+SUMPRODUCT((H9:I9=N21)*(J9="×"))+SUMPRODUCT((K9:L9=N21)*(M9="×"))+SUMPRODUCT((N9:O9=N21)*(P9="×"))+SUMPRODUCT((B11:C11=N21)*(D11="×"))+SUMPRODUCT((E11:F11=N21)*(G11="×"))+SUMPRODUCT((H11:I11=N21)*(J11="×"))+SUMPRODUCT((K11:L11=N21)*(M11="×"))+SUMPRODUCT((N11:O11=N21)*(P11="×"))+SUMPRODUCT((B13:C13=N21)*(D13="×"))+SUMPRODUCT((E13:F13=N21)*(G13="×"))+SUMPRODUCT((H13:I13=N21)*(J13="×"))+SUMPRODUCT((K13:L13=N21)*(M13="×"))+SUMPRODUCT((N13:O13=N21)*(P13="×"))+SUMPRODUCT((B15:C15=N21)*(D15="×"))+SUMPRODUCT((E15:F15=N21)*(G15="×"))+SUMPRODUCT((H15:I15=N21)*(J15="×"))+SUMPRODUCT((K15:L15=N21)*(M15="×"))+SUMPRODUCT((N15:O15=N21)*(P15="×"))+SUMPRODUCT((B17:C17=N21)*(D17="×"))+SUMPRODUCT((E17:F17=N21)*(G17="×"))+SUMPRODUCT((H17:I17=N21)*(J17="×"))+SUMPRODUCT((K17:L17=N21)*(M17="×"))+SUMPRODUCT((N17:O17=N21)*(P17="×"))))</f>
        <v/>
      </c>
      <c r="O23" s="19">
        <f>IF(O24="","",O24-(SUMPRODUCT((B5:C5=O21)*(D5="×"))+SUMPRODUCT((E5:F5=O21)*(G5="×"))+SUMPRODUCT((H5:I5=O21)*(J5="×"))+SUMPRODUCT((K5:L5=O21)*(M5="×"))+SUMPRODUCT((N5:O5=O21)*(P5="×"))+SUMPRODUCT((B7:C7=O21)*(D7="×"))+SUMPRODUCT((E7:F7=O21)*(G7="×"))+SUMPRODUCT((H7:I7=O21)*(J7="×"))+SUMPRODUCT((K7:L7=O21)*(M7="×"))+SUMPRODUCT((N7:O7=O21)*(P7="×"))+SUMPRODUCT((B9:C9=O21)*(D9="×"))+SUMPRODUCT((E9:F9=O21)*(G9="×"))+SUMPRODUCT((H9:I9=O21)*(J9="×"))+SUMPRODUCT((K9:L9=O21)*(M9="×"))+SUMPRODUCT((N9:O9=O21)*(P9="×"))+SUMPRODUCT((B11:C11=O21)*(D11="×"))+SUMPRODUCT((E11:F11=O21)*(G11="×"))+SUMPRODUCT((H11:I11=O21)*(J11="×"))+SUMPRODUCT((K11:L11=O21)*(M11="×"))+SUMPRODUCT((N11:O11=O21)*(P11="×"))+SUMPRODUCT((B13:C13=O21)*(D13="×"))+SUMPRODUCT((E13:F13=O21)*(G13="×"))+SUMPRODUCT((H13:I13=O21)*(J13="×"))+SUMPRODUCT((K13:L13=O21)*(M13="×"))+SUMPRODUCT((N13:O13=O21)*(P13="×"))+SUMPRODUCT((B15:C15=O21)*(D15="×"))+SUMPRODUCT((E15:F15=O21)*(G15="×"))+SUMPRODUCT((H15:I15=O21)*(J15="×"))+SUMPRODUCT((K15:L15=O21)*(M15="×"))+SUMPRODUCT((N15:O15=O21)*(P15="×"))+SUMPRODUCT((B17:C17=O21)*(D17="×"))+SUMPRODUCT((E17:F17=O21)*(G17="×"))+SUMPRODUCT((H17:I17=O21)*(J17="×"))+SUMPRODUCT((K17:L17=O21)*(M17="×"))+SUMPRODUCT((N17:O17=O21)*(P17="×"))))</f>
        <v/>
      </c>
      <c r="P23" s="20">
        <f>IF(SUM(B23:O23)=0,"",SUM(B23:O23))</f>
        <v/>
      </c>
    </row>
    <row r="24" spans="1:16" ht="13.5" customHeight="1" x14ac:dyDescent="0.2">
      <c r="A24" s="36"/>
      <c r="B24" s="21">
        <f>IF(B21="","",IF(COUNTIF(B5:C5,B21)+COUNTIF(B5:C5,"*,"&amp;B21&amp;",*")+COUNTIF(E5:F5,B21)+COUNTIF(E5:F5,"*,"&amp;B21&amp;",*")+COUNTIF(H5:I5,B21)+COUNTIF(H5:I5,"*,"&amp;B21&amp;",*")+COUNTIF(K5:L5,B21)+COUNTIF(K5:L5,"*,"&amp;B21&amp;",*")+COUNTIF(N5:O5,B21)+COUNTIF(N5:O5,"*,"&amp;B21&amp;",*")+COUNTIF(B7:C7,B21)+COUNTIF(B7:C7,"*,"&amp;B21&amp;",*")+COUNTIF(E7:F7,B21)+COUNTIF(E7:F7,"*,"&amp;B21&amp;",*")+COUNTIF(H7:I7,B21)+COUNTIF(H7:I7,"*,"&amp;B21&amp;",*")+COUNTIF(K7:L7,B21)+COUNTIF(K7:L7,"*,"&amp;B21&amp;",*")+COUNTIF(N7:O7,B21)+COUNTIF(N7:O7,"*,"&amp;B21&amp;",*")+COUNTIF(B9:C9,B21)+COUNTIF(B9:C9,"*,"&amp;B21&amp;",*")+COUNTIF(E9:F9,B21)+COUNTIF(E9:F9,"*,"&amp;B21&amp;",*")+COUNTIF(H9:I9,B21)+COUNTIF(H9:I9,"*,"&amp;B21&amp;",*")+COUNTIF(K9:L9,B21)+COUNTIF(K9:L9,"*,"&amp;B21&amp;",*")+COUNTIF(N9:O9,B21)+COUNTIF(N9:O9,"*,"&amp;B21&amp;",*")+COUNTIF(B11:C11,B21)+COUNTIF(B11:C11,"*,"&amp;B21&amp;",*")+COUNTIF(E11:F11,B21)+COUNTIF(E11:F11,"*,"&amp;B21&amp;",*")+COUNTIF(H11:I11,B21)+COUNTIF(H11:I11,"*,"&amp;B21&amp;",*")+COUNTIF(K11:L11,B21)+COUNTIF(K11:L11,"*,"&amp;B21&amp;",*")+COUNTIF(N11:O11,B21)+COUNTIF(N11:O11,"*,"&amp;B21&amp;",*")+COUNTIF(B13:C13,B21)+COUNTIF(B13:C13,"*,"&amp;B21&amp;",*")+COUNTIF(E13:F13,B21)+COUNTIF(E13:F13,"*,"&amp;B21&amp;",*")+COUNTIF(H13:I13,B21)+COUNTIF(H13:I13,"*,"&amp;B21&amp;",*")+COUNTIF(K13:L13,B21)+COUNTIF(K13:L13,"*,"&amp;B21&amp;",*")+COUNTIF(N13:O13,B21)+COUNTIF(N13:O13,"*,"&amp;B21&amp;",*")+COUNTIF(B15:C15,B21)+COUNTIF(B15:C15,"*,"&amp;B21&amp;",*")+COUNTIF(E15:F15,B21)+COUNTIF(E15:F15,"*,"&amp;B21&amp;",*")+COUNTIF(H15:I15,B21)+COUNTIF(H15:I15,"*,"&amp;B21&amp;",*")+COUNTIF(K15:L15,B21)+COUNTIF(K15:L15,"*,"&amp;B21&amp;",*")+COUNTIF(N15:O15,B21)+COUNTIF(N15:O15,"*,"&amp;B21&amp;",*")+COUNTIF(B17:C17,B21)+COUNTIF(B17:C17,"*,"&amp;B21&amp;",*")+COUNTIF(E17:F17,B21)+COUNTIF(E17:F17,"*,"&amp;B21&amp;",*")+COUNTIF(H17:I17,B21)+COUNTIF(H17:I17,"*,"&amp;B21&amp;",*")+COUNTIF(K17:L17,B21)+COUNTIF(K17:L17,"*,"&amp;B21&amp;",*")+COUNTIF(N17:O17,B21)+COUNTIF(N17:O17,"*,"&amp;B21&amp;",*")=0,"",COUNTIF(B5:C5,B21)+COUNTIF(B5:C5,"*,"&amp;B21&amp;",*")+COUNTIF(E5:F5,B21)+COUNTIF(E5:F5,"*,"&amp;B21&amp;",*")+COUNTIF(H5:I5,B21)+COUNTIF(H5:I5,"*,"&amp;B21&amp;",*")+COUNTIF(K5:L5,B21)+COUNTIF(K5:L5,"*,"&amp;B21&amp;",*")+COUNTIF(N5:O5,B21)+COUNTIF(N5:O5,"*,"&amp;B21&amp;",*")+COUNTIF(B7:C7,B21)+COUNTIF(B7:C7,"*,"&amp;B21&amp;",*")+COUNTIF(E7:F7,B21)+COUNTIF(E7:F7,"*,"&amp;B21&amp;",*")+COUNTIF(H7:I7,B21)+COUNTIF(H7:I7,"*,"&amp;B21&amp;",*")+COUNTIF(K7:L7,B21)+COUNTIF(K7:L7,"*,"&amp;B21&amp;",*")+COUNTIF(N7:O7,B21)+COUNTIF(N7:O7,"*,"&amp;B21&amp;",*")+COUNTIF(B9:C9,B21)+COUNTIF(B9:C9,"*,"&amp;B21&amp;",*")+COUNTIF(E9:F9,B21)+COUNTIF(E9:F9,"*,"&amp;B21&amp;",*")+COUNTIF(H9:I9,B21)+COUNTIF(H9:I9,"*,"&amp;B21&amp;",*")+COUNTIF(K9:L9,B21)+COUNTIF(K9:L9,"*,"&amp;B21&amp;",*")+COUNTIF(N9:O9,B21)+COUNTIF(N9:O9,"*,"&amp;B21&amp;",*")+COUNTIF(B11:C11,B21)+COUNTIF(B11:C11,"*,"&amp;B21&amp;",*")+COUNTIF(E11:F11,B21)+COUNTIF(E11:F11,"*,"&amp;B21&amp;",*")+COUNTIF(H11:I11,B21)+COUNTIF(H11:I11,"*,"&amp;B21&amp;",*")+COUNTIF(K11:L11,B21)+COUNTIF(K11:L11,"*,"&amp;B21&amp;",*")+COUNTIF(N11:O11,B21)+COUNTIF(N11:O11,"*,"&amp;B21&amp;",*")+COUNTIF(B13:C13,B21)+COUNTIF(B13:C13,"*,"&amp;B21&amp;",*")+COUNTIF(E13:F13,B21)+COUNTIF(E13:F13,"*,"&amp;B21&amp;",*")+COUNTIF(H13:I13,B21)+COUNTIF(H13:I13,"*,"&amp;B21&amp;",*")+COUNTIF(K13:L13,B21)+COUNTIF(K13:L13,"*,"&amp;B21&amp;",*")+COUNTIF(N13:O13,B21)+COUNTIF(N13:O13,"*,"&amp;B21&amp;",*")+COUNTIF(B15:C15,B21)+COUNTIF(B15:C15,"*,"&amp;B21&amp;",*")+COUNTIF(E15:F15,B21)+COUNTIF(E15:F15,"*,"&amp;B21&amp;",*")+COUNTIF(H15:I15,B21)+COUNTIF(H15:I15,"*,"&amp;B21&amp;",*")+COUNTIF(K15:L15,B21)+COUNTIF(K15:L15,"*,"&amp;B21&amp;",*")+COUNTIF(N15:O15,B21)+COUNTIF(N15:O15,"*,"&amp;B21&amp;",*")+COUNTIF(B17:C17,B21)+COUNTIF(B17:C17,"*,"&amp;B21&amp;",*")+COUNTIF(E17:F17,B21)+COUNTIF(E17:F17,"*,"&amp;B21&amp;",*")+COUNTIF(H17:I17,B21)+COUNTIF(H17:I17,"*,"&amp;B21&amp;",*")+COUNTIF(K17:L17,B21)+COUNTIF(K17:L17,"*,"&amp;B21&amp;",*")+COUNTIF(N17:O17,B21)+COUNTIF(N17:O17,"*,"&amp;B21&amp;",*")))</f>
        <v/>
      </c>
      <c r="C24" s="21">
        <f>IF(C21="","",IF(COUNTIF(B5:C5,C21)+COUNTIF(B5:C5,"*,"&amp;C21&amp;",*")+COUNTIF(E5:F5,C21)+COUNTIF(E5:F5,"*,"&amp;C21&amp;",*")+COUNTIF(H5:I5,C21)+COUNTIF(H5:I5,"*,"&amp;C21&amp;",*")+COUNTIF(K5:L5,C21)+COUNTIF(K5:L5,"*,"&amp;C21&amp;",*")+COUNTIF(N5:O5,C21)+COUNTIF(N5:O5,"*,"&amp;C21&amp;",*")+COUNTIF(B7:C7,C21)+COUNTIF(B7:C7,"*,"&amp;C21&amp;",*")+COUNTIF(E7:F7,C21)+COUNTIF(E7:F7,"*,"&amp;C21&amp;",*")+COUNTIF(H7:I7,C21)+COUNTIF(H7:I7,"*,"&amp;C21&amp;",*")+COUNTIF(K7:L7,C21)+COUNTIF(K7:L7,"*,"&amp;C21&amp;",*")+COUNTIF(N7:O7,C21)+COUNTIF(N7:O7,"*,"&amp;C21&amp;",*")+COUNTIF(B9:C9,C21)+COUNTIF(B9:C9,"*,"&amp;C21&amp;",*")+COUNTIF(E9:F9,C21)+COUNTIF(E9:F9,"*,"&amp;C21&amp;",*")+COUNTIF(H9:I9,C21)+COUNTIF(H9:I9,"*,"&amp;C21&amp;",*")+COUNTIF(K9:L9,C21)+COUNTIF(K9:L9,"*,"&amp;C21&amp;",*")+COUNTIF(N9:O9,C21)+COUNTIF(N9:O9,"*,"&amp;C21&amp;",*")+COUNTIF(B11:C11,C21)+COUNTIF(B11:C11,"*,"&amp;C21&amp;",*")+COUNTIF(E11:F11,C21)+COUNTIF(E11:F11,"*,"&amp;C21&amp;",*")+COUNTIF(H11:I11,C21)+COUNTIF(H11:I11,"*,"&amp;C21&amp;",*")+COUNTIF(K11:L11,C21)+COUNTIF(K11:L11,"*,"&amp;C21&amp;",*")+COUNTIF(N11:O11,C21)+COUNTIF(N11:O11,"*,"&amp;C21&amp;",*")+COUNTIF(B13:C13,C21)+COUNTIF(B13:C13,"*,"&amp;C21&amp;",*")+COUNTIF(E13:F13,C21)+COUNTIF(E13:F13,"*,"&amp;C21&amp;",*")+COUNTIF(H13:I13,C21)+COUNTIF(H13:I13,"*,"&amp;C21&amp;",*")+COUNTIF(K13:L13,C21)+COUNTIF(K13:L13,"*,"&amp;C21&amp;",*")+COUNTIF(N13:O13,C21)+COUNTIF(N13:O13,"*,"&amp;C21&amp;",*")+COUNTIF(B15:C15,C21)+COUNTIF(B15:C15,"*,"&amp;C21&amp;",*")+COUNTIF(E15:F15,C21)+COUNTIF(E15:F15,"*,"&amp;C21&amp;",*")+COUNTIF(H15:I15,C21)+COUNTIF(H15:I15,"*,"&amp;C21&amp;",*")+COUNTIF(K15:L15,C21)+COUNTIF(K15:L15,"*,"&amp;C21&amp;",*")+COUNTIF(N15:O15,C21)+COUNTIF(N15:O15,"*,"&amp;C21&amp;",*")+COUNTIF(B17:C17,C21)+COUNTIF(B17:C17,"*,"&amp;C21&amp;",*")+COUNTIF(E17:F17,C21)+COUNTIF(E17:F17,"*,"&amp;C21&amp;",*")+COUNTIF(H17:I17,C21)+COUNTIF(H17:I17,"*,"&amp;C21&amp;",*")+COUNTIF(K17:L17,C21)+COUNTIF(K17:L17,"*,"&amp;C21&amp;",*")+COUNTIF(N17:O17,C21)+COUNTIF(N17:O17,"*,"&amp;C21&amp;",*")=0,"",COUNTIF(B5:C5,C21)+COUNTIF(B5:C5,"*,"&amp;C21&amp;",*")+COUNTIF(E5:F5,C21)+COUNTIF(E5:F5,"*,"&amp;C21&amp;",*")+COUNTIF(H5:I5,C21)+COUNTIF(H5:I5,"*,"&amp;C21&amp;",*")+COUNTIF(K5:L5,C21)+COUNTIF(K5:L5,"*,"&amp;C21&amp;",*")+COUNTIF(N5:O5,C21)+COUNTIF(N5:O5,"*,"&amp;C21&amp;",*")+COUNTIF(B7:C7,C21)+COUNTIF(B7:C7,"*,"&amp;C21&amp;",*")+COUNTIF(E7:F7,C21)+COUNTIF(E7:F7,"*,"&amp;C21&amp;",*")+COUNTIF(H7:I7,C21)+COUNTIF(H7:I7,"*,"&amp;C21&amp;",*")+COUNTIF(K7:L7,C21)+COUNTIF(K7:L7,"*,"&amp;C21&amp;",*")+COUNTIF(N7:O7,C21)+COUNTIF(N7:O7,"*,"&amp;C21&amp;",*")+COUNTIF(B9:C9,C21)+COUNTIF(B9:C9,"*,"&amp;C21&amp;",*")+COUNTIF(E9:F9,C21)+COUNTIF(E9:F9,"*,"&amp;C21&amp;",*")+COUNTIF(H9:I9,C21)+COUNTIF(H9:I9,"*,"&amp;C21&amp;",*")+COUNTIF(K9:L9,C21)+COUNTIF(K9:L9,"*,"&amp;C21&amp;",*")+COUNTIF(N9:O9,C21)+COUNTIF(N9:O9,"*,"&amp;C21&amp;",*")+COUNTIF(B11:C11,C21)+COUNTIF(B11:C11,"*,"&amp;C21&amp;",*")+COUNTIF(E11:F11,C21)+COUNTIF(E11:F11,"*,"&amp;C21&amp;",*")+COUNTIF(H11:I11,C21)+COUNTIF(H11:I11,"*,"&amp;C21&amp;",*")+COUNTIF(K11:L11,C21)+COUNTIF(K11:L11,"*,"&amp;C21&amp;",*")+COUNTIF(N11:O11,C21)+COUNTIF(N11:O11,"*,"&amp;C21&amp;",*")+COUNTIF(B13:C13,C21)+COUNTIF(B13:C13,"*,"&amp;C21&amp;",*")+COUNTIF(E13:F13,C21)+COUNTIF(E13:F13,"*,"&amp;C21&amp;",*")+COUNTIF(H13:I13,C21)+COUNTIF(H13:I13,"*,"&amp;C21&amp;",*")+COUNTIF(K13:L13,C21)+COUNTIF(K13:L13,"*,"&amp;C21&amp;",*")+COUNTIF(N13:O13,C21)+COUNTIF(N13:O13,"*,"&amp;C21&amp;",*")+COUNTIF(B15:C15,C21)+COUNTIF(B15:C15,"*,"&amp;C21&amp;",*")+COUNTIF(E15:F15,C21)+COUNTIF(E15:F15,"*,"&amp;C21&amp;",*")+COUNTIF(H15:I15,C21)+COUNTIF(H15:I15,"*,"&amp;C21&amp;",*")+COUNTIF(K15:L15,C21)+COUNTIF(K15:L15,"*,"&amp;C21&amp;",*")+COUNTIF(N15:O15,C21)+COUNTIF(N15:O15,"*,"&amp;C21&amp;",*")+COUNTIF(B17:C17,C21)+COUNTIF(B17:C17,"*,"&amp;C21&amp;",*")+COUNTIF(E17:F17,C21)+COUNTIF(E17:F17,"*,"&amp;C21&amp;",*")+COUNTIF(H17:I17,C21)+COUNTIF(H17:I17,"*,"&amp;C21&amp;",*")+COUNTIF(K17:L17,C21)+COUNTIF(K17:L17,"*,"&amp;C21&amp;",*")+COUNTIF(N17:O17,C21)+COUNTIF(N17:O17,"*,"&amp;C21&amp;",*")))</f>
        <v/>
      </c>
      <c r="D24" s="21">
        <f>IF(D21="","",IF(COUNTIF(B5:C5,D21)+COUNTIF(B5:C5,"*,"&amp;D21&amp;",*")+COUNTIF(E5:F5,D21)+COUNTIF(E5:F5,"*,"&amp;D21&amp;",*")+COUNTIF(H5:I5,D21)+COUNTIF(H5:I5,"*,"&amp;D21&amp;",*")+COUNTIF(K5:L5,D21)+COUNTIF(K5:L5,"*,"&amp;D21&amp;",*")+COUNTIF(N5:O5,D21)+COUNTIF(N5:O5,"*,"&amp;D21&amp;",*")+COUNTIF(B7:C7,D21)+COUNTIF(B7:C7,"*,"&amp;D21&amp;",*")+COUNTIF(E7:F7,D21)+COUNTIF(E7:F7,"*,"&amp;D21&amp;",*")+COUNTIF(H7:I7,D21)+COUNTIF(H7:I7,"*,"&amp;D21&amp;",*")+COUNTIF(K7:L7,D21)+COUNTIF(K7:L7,"*,"&amp;D21&amp;",*")+COUNTIF(N7:O7,D21)+COUNTIF(N7:O7,"*,"&amp;D21&amp;",*")+COUNTIF(B9:C9,D21)+COUNTIF(B9:C9,"*,"&amp;D21&amp;",*")+COUNTIF(E9:F9,D21)+COUNTIF(E9:F9,"*,"&amp;D21&amp;",*")+COUNTIF(H9:I9,D21)+COUNTIF(H9:I9,"*,"&amp;D21&amp;",*")+COUNTIF(K9:L9,D21)+COUNTIF(K9:L9,"*,"&amp;D21&amp;",*")+COUNTIF(N9:O9,D21)+COUNTIF(N9:O9,"*,"&amp;D21&amp;",*")+COUNTIF(B11:C11,D21)+COUNTIF(B11:C11,"*,"&amp;D21&amp;",*")+COUNTIF(E11:F11,D21)+COUNTIF(E11:F11,"*,"&amp;D21&amp;",*")+COUNTIF(H11:I11,D21)+COUNTIF(H11:I11,"*,"&amp;D21&amp;",*")+COUNTIF(K11:L11,D21)+COUNTIF(K11:L11,"*,"&amp;D21&amp;",*")+COUNTIF(N11:O11,D21)+COUNTIF(N11:O11,"*,"&amp;D21&amp;",*")+COUNTIF(B13:C13,D21)+COUNTIF(B13:C13,"*,"&amp;D21&amp;",*")+COUNTIF(E13:F13,D21)+COUNTIF(E13:F13,"*,"&amp;D21&amp;",*")+COUNTIF(H13:I13,D21)+COUNTIF(H13:I13,"*,"&amp;D21&amp;",*")+COUNTIF(K13:L13,D21)+COUNTIF(K13:L13,"*,"&amp;D21&amp;",*")+COUNTIF(N13:O13,D21)+COUNTIF(N13:O13,"*,"&amp;D21&amp;",*")+COUNTIF(B15:C15,D21)+COUNTIF(B15:C15,"*,"&amp;D21&amp;",*")+COUNTIF(E15:F15,D21)+COUNTIF(E15:F15,"*,"&amp;D21&amp;",*")+COUNTIF(H15:I15,D21)+COUNTIF(H15:I15,"*,"&amp;D21&amp;",*")+COUNTIF(K15:L15,D21)+COUNTIF(K15:L15,"*,"&amp;D21&amp;",*")+COUNTIF(N15:O15,D21)+COUNTIF(N15:O15,"*,"&amp;D21&amp;",*")+COUNTIF(B17:C17,D21)+COUNTIF(B17:C17,"*,"&amp;D21&amp;",*")+COUNTIF(E17:F17,D21)+COUNTIF(E17:F17,"*,"&amp;D21&amp;",*")+COUNTIF(H17:I17,D21)+COUNTIF(H17:I17,"*,"&amp;D21&amp;",*")+COUNTIF(K17:L17,D21)+COUNTIF(K17:L17,"*,"&amp;D21&amp;",*")+COUNTIF(N17:O17,D21)+COUNTIF(N17:O17,"*,"&amp;D21&amp;",*")=0,"",COUNTIF(B5:C5,D21)+COUNTIF(B5:C5,"*,"&amp;D21&amp;",*")+COUNTIF(E5:F5,D21)+COUNTIF(E5:F5,"*,"&amp;D21&amp;",*")+COUNTIF(H5:I5,D21)+COUNTIF(H5:I5,"*,"&amp;D21&amp;",*")+COUNTIF(K5:L5,D21)+COUNTIF(K5:L5,"*,"&amp;D21&amp;",*")+COUNTIF(N5:O5,D21)+COUNTIF(N5:O5,"*,"&amp;D21&amp;",*")+COUNTIF(B7:C7,D21)+COUNTIF(B7:C7,"*,"&amp;D21&amp;",*")+COUNTIF(E7:F7,D21)+COUNTIF(E7:F7,"*,"&amp;D21&amp;",*")+COUNTIF(H7:I7,D21)+COUNTIF(H7:I7,"*,"&amp;D21&amp;",*")+COUNTIF(K7:L7,D21)+COUNTIF(K7:L7,"*,"&amp;D21&amp;",*")+COUNTIF(N7:O7,D21)+COUNTIF(N7:O7,"*,"&amp;D21&amp;",*")+COUNTIF(B9:C9,D21)+COUNTIF(B9:C9,"*,"&amp;D21&amp;",*")+COUNTIF(E9:F9,D21)+COUNTIF(E9:F9,"*,"&amp;D21&amp;",*")+COUNTIF(H9:I9,D21)+COUNTIF(H9:I9,"*,"&amp;D21&amp;",*")+COUNTIF(K9:L9,D21)+COUNTIF(K9:L9,"*,"&amp;D21&amp;",*")+COUNTIF(N9:O9,D21)+COUNTIF(N9:O9,"*,"&amp;D21&amp;",*")+COUNTIF(B11:C11,D21)+COUNTIF(B11:C11,"*,"&amp;D21&amp;",*")+COUNTIF(E11:F11,D21)+COUNTIF(E11:F11,"*,"&amp;D21&amp;",*")+COUNTIF(H11:I11,D21)+COUNTIF(H11:I11,"*,"&amp;D21&amp;",*")+COUNTIF(K11:L11,D21)+COUNTIF(K11:L11,"*,"&amp;D21&amp;",*")+COUNTIF(N11:O11,D21)+COUNTIF(N11:O11,"*,"&amp;D21&amp;",*")+COUNTIF(B13:C13,D21)+COUNTIF(B13:C13,"*,"&amp;D21&amp;",*")+COUNTIF(E13:F13,D21)+COUNTIF(E13:F13,"*,"&amp;D21&amp;",*")+COUNTIF(H13:I13,D21)+COUNTIF(H13:I13,"*,"&amp;D21&amp;",*")+COUNTIF(K13:L13,D21)+COUNTIF(K13:L13,"*,"&amp;D21&amp;",*")+COUNTIF(N13:O13,D21)+COUNTIF(N13:O13,"*,"&amp;D21&amp;",*")+COUNTIF(B15:C15,D21)+COUNTIF(B15:C15,"*,"&amp;D21&amp;",*")+COUNTIF(E15:F15,D21)+COUNTIF(E15:F15,"*,"&amp;D21&amp;",*")+COUNTIF(H15:I15,D21)+COUNTIF(H15:I15,"*,"&amp;D21&amp;",*")+COUNTIF(K15:L15,D21)+COUNTIF(K15:L15,"*,"&amp;D21&amp;",*")+COUNTIF(N15:O15,D21)+COUNTIF(N15:O15,"*,"&amp;D21&amp;",*")+COUNTIF(B17:C17,D21)+COUNTIF(B17:C17,"*,"&amp;D21&amp;",*")+COUNTIF(E17:F17,D21)+COUNTIF(E17:F17,"*,"&amp;D21&amp;",*")+COUNTIF(H17:I17,D21)+COUNTIF(H17:I17,"*,"&amp;D21&amp;",*")+COUNTIF(K17:L17,D21)+COUNTIF(K17:L17,"*,"&amp;D21&amp;",*")+COUNTIF(N17:O17,D21)+COUNTIF(N17:O17,"*,"&amp;D21&amp;",*")))</f>
        <v/>
      </c>
      <c r="E24" s="21">
        <f>IF(E21="","",IF(COUNTIF(B5:C5,E21)+COUNTIF(B5:C5,"*,"&amp;E21&amp;",*")+COUNTIF(E5:F5,E21)+COUNTIF(E5:F5,"*,"&amp;E21&amp;",*")+COUNTIF(H5:I5,E21)+COUNTIF(H5:I5,"*,"&amp;E21&amp;",*")+COUNTIF(K5:L5,E21)+COUNTIF(K5:L5,"*,"&amp;E21&amp;",*")+COUNTIF(N5:O5,E21)+COUNTIF(N5:O5,"*,"&amp;E21&amp;",*")+COUNTIF(B7:C7,E21)+COUNTIF(B7:C7,"*,"&amp;E21&amp;",*")+COUNTIF(E7:F7,E21)+COUNTIF(E7:F7,"*,"&amp;E21&amp;",*")+COUNTIF(H7:I7,E21)+COUNTIF(H7:I7,"*,"&amp;E21&amp;",*")+COUNTIF(K7:L7,E21)+COUNTIF(K7:L7,"*,"&amp;E21&amp;",*")+COUNTIF(N7:O7,E21)+COUNTIF(N7:O7,"*,"&amp;E21&amp;",*")+COUNTIF(B9:C9,E21)+COUNTIF(B9:C9,"*,"&amp;E21&amp;",*")+COUNTIF(E9:F9,E21)+COUNTIF(E9:F9,"*,"&amp;E21&amp;",*")+COUNTIF(H9:I9,E21)+COUNTIF(H9:I9,"*,"&amp;E21&amp;",*")+COUNTIF(K9:L9,E21)+COUNTIF(K9:L9,"*,"&amp;E21&amp;",*")+COUNTIF(N9:O9,E21)+COUNTIF(N9:O9,"*,"&amp;E21&amp;",*")+COUNTIF(B11:C11,E21)+COUNTIF(B11:C11,"*,"&amp;E21&amp;",*")+COUNTIF(E11:F11,E21)+COUNTIF(E11:F11,"*,"&amp;E21&amp;",*")+COUNTIF(H11:I11,E21)+COUNTIF(H11:I11,"*,"&amp;E21&amp;",*")+COUNTIF(K11:L11,E21)+COUNTIF(K11:L11,"*,"&amp;E21&amp;",*")+COUNTIF(N11:O11,E21)+COUNTIF(N11:O11,"*,"&amp;E21&amp;",*")+COUNTIF(B13:C13,E21)+COUNTIF(B13:C13,"*,"&amp;E21&amp;",*")+COUNTIF(E13:F13,E21)+COUNTIF(E13:F13,"*,"&amp;E21&amp;",*")+COUNTIF(H13:I13,E21)+COUNTIF(H13:I13,"*,"&amp;E21&amp;",*")+COUNTIF(K13:L13,E21)+COUNTIF(K13:L13,"*,"&amp;E21&amp;",*")+COUNTIF(N13:O13,E21)+COUNTIF(N13:O13,"*,"&amp;E21&amp;",*")+COUNTIF(B15:C15,E21)+COUNTIF(B15:C15,"*,"&amp;E21&amp;",*")+COUNTIF(E15:F15,E21)+COUNTIF(E15:F15,"*,"&amp;E21&amp;",*")+COUNTIF(H15:I15,E21)+COUNTIF(H15:I15,"*,"&amp;E21&amp;",*")+COUNTIF(K15:L15,E21)+COUNTIF(K15:L15,"*,"&amp;E21&amp;",*")+COUNTIF(N15:O15,E21)+COUNTIF(N15:O15,"*,"&amp;E21&amp;",*")+COUNTIF(B17:C17,E21)+COUNTIF(B17:C17,"*,"&amp;E21&amp;",*")+COUNTIF(E17:F17,E21)+COUNTIF(E17:F17,"*,"&amp;E21&amp;",*")+COUNTIF(H17:I17,E21)+COUNTIF(H17:I17,"*,"&amp;E21&amp;",*")+COUNTIF(K17:L17,E21)+COUNTIF(K17:L17,"*,"&amp;E21&amp;",*")+COUNTIF(N17:O17,E21)+COUNTIF(N17:O17,"*,"&amp;E21&amp;",*")=0,"",COUNTIF(B5:C5,E21)+COUNTIF(B5:C5,"*,"&amp;E21&amp;",*")+COUNTIF(E5:F5,E21)+COUNTIF(E5:F5,"*,"&amp;E21&amp;",*")+COUNTIF(H5:I5,E21)+COUNTIF(H5:I5,"*,"&amp;E21&amp;",*")+COUNTIF(K5:L5,E21)+COUNTIF(K5:L5,"*,"&amp;E21&amp;",*")+COUNTIF(N5:O5,E21)+COUNTIF(N5:O5,"*,"&amp;E21&amp;",*")+COUNTIF(B7:C7,E21)+COUNTIF(B7:C7,"*,"&amp;E21&amp;",*")+COUNTIF(E7:F7,E21)+COUNTIF(E7:F7,"*,"&amp;E21&amp;",*")+COUNTIF(H7:I7,E21)+COUNTIF(H7:I7,"*,"&amp;E21&amp;",*")+COUNTIF(K7:L7,E21)+COUNTIF(K7:L7,"*,"&amp;E21&amp;",*")+COUNTIF(N7:O7,E21)+COUNTIF(N7:O7,"*,"&amp;E21&amp;",*")+COUNTIF(B9:C9,E21)+COUNTIF(B9:C9,"*,"&amp;E21&amp;",*")+COUNTIF(E9:F9,E21)+COUNTIF(E9:F9,"*,"&amp;E21&amp;",*")+COUNTIF(H9:I9,E21)+COUNTIF(H9:I9,"*,"&amp;E21&amp;",*")+COUNTIF(K9:L9,E21)+COUNTIF(K9:L9,"*,"&amp;E21&amp;",*")+COUNTIF(N9:O9,E21)+COUNTIF(N9:O9,"*,"&amp;E21&amp;",*")+COUNTIF(B11:C11,E21)+COUNTIF(B11:C11,"*,"&amp;E21&amp;",*")+COUNTIF(E11:F11,E21)+COUNTIF(E11:F11,"*,"&amp;E21&amp;",*")+COUNTIF(H11:I11,E21)+COUNTIF(H11:I11,"*,"&amp;E21&amp;",*")+COUNTIF(K11:L11,E21)+COUNTIF(K11:L11,"*,"&amp;E21&amp;",*")+COUNTIF(N11:O11,E21)+COUNTIF(N11:O11,"*,"&amp;E21&amp;",*")+COUNTIF(B13:C13,E21)+COUNTIF(B13:C13,"*,"&amp;E21&amp;",*")+COUNTIF(E13:F13,E21)+COUNTIF(E13:F13,"*,"&amp;E21&amp;",*")+COUNTIF(H13:I13,E21)+COUNTIF(H13:I13,"*,"&amp;E21&amp;",*")+COUNTIF(K13:L13,E21)+COUNTIF(K13:L13,"*,"&amp;E21&amp;",*")+COUNTIF(N13:O13,E21)+COUNTIF(N13:O13,"*,"&amp;E21&amp;",*")+COUNTIF(B15:C15,E21)+COUNTIF(B15:C15,"*,"&amp;E21&amp;",*")+COUNTIF(E15:F15,E21)+COUNTIF(E15:F15,"*,"&amp;E21&amp;",*")+COUNTIF(H15:I15,E21)+COUNTIF(H15:I15,"*,"&amp;E21&amp;",*")+COUNTIF(K15:L15,E21)+COUNTIF(K15:L15,"*,"&amp;E21&amp;",*")+COUNTIF(N15:O15,E21)+COUNTIF(N15:O15,"*,"&amp;E21&amp;",*")+COUNTIF(B17:C17,E21)+COUNTIF(B17:C17,"*,"&amp;E21&amp;",*")+COUNTIF(E17:F17,E21)+COUNTIF(E17:F17,"*,"&amp;E21&amp;",*")+COUNTIF(H17:I17,E21)+COUNTIF(H17:I17,"*,"&amp;E21&amp;",*")+COUNTIF(K17:L17,E21)+COUNTIF(K17:L17,"*,"&amp;E21&amp;",*")+COUNTIF(N17:O17,E21)+COUNTIF(N17:O17,"*,"&amp;E21&amp;",*")))</f>
        <v/>
      </c>
      <c r="F24" s="21">
        <f>IF(F21="","",IF(COUNTIF(B5:C5,F21)+COUNTIF(B5:C5,"*,"&amp;F21&amp;",*")+COUNTIF(E5:F5,F21)+COUNTIF(E5:F5,"*,"&amp;F21&amp;",*")+COUNTIF(H5:I5,F21)+COUNTIF(H5:I5,"*,"&amp;F21&amp;",*")+COUNTIF(K5:L5,F21)+COUNTIF(K5:L5,"*,"&amp;F21&amp;",*")+COUNTIF(N5:O5,F21)+COUNTIF(N5:O5,"*,"&amp;F21&amp;",*")+COUNTIF(B7:C7,F21)+COUNTIF(B7:C7,"*,"&amp;F21&amp;",*")+COUNTIF(E7:F7,F21)+COUNTIF(E7:F7,"*,"&amp;F21&amp;",*")+COUNTIF(H7:I7,F21)+COUNTIF(H7:I7,"*,"&amp;F21&amp;",*")+COUNTIF(K7:L7,F21)+COUNTIF(K7:L7,"*,"&amp;F21&amp;",*")+COUNTIF(N7:O7,F21)+COUNTIF(N7:O7,"*,"&amp;F21&amp;",*")+COUNTIF(B9:C9,F21)+COUNTIF(B9:C9,"*,"&amp;F21&amp;",*")+COUNTIF(E9:F9,F21)+COUNTIF(E9:F9,"*,"&amp;F21&amp;",*")+COUNTIF(H9:I9,F21)+COUNTIF(H9:I9,"*,"&amp;F21&amp;",*")+COUNTIF(K9:L9,F21)+COUNTIF(K9:L9,"*,"&amp;F21&amp;",*")+COUNTIF(N9:O9,F21)+COUNTIF(N9:O9,"*,"&amp;F21&amp;",*")+COUNTIF(B11:C11,F21)+COUNTIF(B11:C11,"*,"&amp;F21&amp;",*")+COUNTIF(E11:F11,F21)+COUNTIF(E11:F11,"*,"&amp;F21&amp;",*")+COUNTIF(H11:I11,F21)+COUNTIF(H11:I11,"*,"&amp;F21&amp;",*")+COUNTIF(K11:L11,F21)+COUNTIF(K11:L11,"*,"&amp;F21&amp;",*")+COUNTIF(N11:O11,F21)+COUNTIF(N11:O11,"*,"&amp;F21&amp;",*")+COUNTIF(B13:C13,F21)+COUNTIF(B13:C13,"*,"&amp;F21&amp;",*")+COUNTIF(E13:F13,F21)+COUNTIF(E13:F13,"*,"&amp;F21&amp;",*")+COUNTIF(H13:I13,F21)+COUNTIF(H13:I13,"*,"&amp;F21&amp;",*")+COUNTIF(K13:L13,F21)+COUNTIF(K13:L13,"*,"&amp;F21&amp;",*")+COUNTIF(N13:O13,F21)+COUNTIF(N13:O13,"*,"&amp;F21&amp;",*")+COUNTIF(B15:C15,F21)+COUNTIF(B15:C15,"*,"&amp;F21&amp;",*")+COUNTIF(E15:F15,F21)+COUNTIF(E15:F15,"*,"&amp;F21&amp;",*")+COUNTIF(H15:I15,F21)+COUNTIF(H15:I15,"*,"&amp;F21&amp;",*")+COUNTIF(K15:L15,F21)+COUNTIF(K15:L15,"*,"&amp;F21&amp;",*")+COUNTIF(N15:O15,F21)+COUNTIF(N15:O15,"*,"&amp;F21&amp;",*")+COUNTIF(B17:C17,F21)+COUNTIF(B17:C17,"*,"&amp;F21&amp;",*")+COUNTIF(E17:F17,F21)+COUNTIF(E17:F17,"*,"&amp;F21&amp;",*")+COUNTIF(H17:I17,F21)+COUNTIF(H17:I17,"*,"&amp;F21&amp;",*")+COUNTIF(K17:L17,F21)+COUNTIF(K17:L17,"*,"&amp;F21&amp;",*")+COUNTIF(N17:O17,F21)+COUNTIF(N17:O17,"*,"&amp;F21&amp;",*")=0,"",COUNTIF(B5:C5,F21)+COUNTIF(B5:C5,"*,"&amp;F21&amp;",*")+COUNTIF(E5:F5,F21)+COUNTIF(E5:F5,"*,"&amp;F21&amp;",*")+COUNTIF(H5:I5,F21)+COUNTIF(H5:I5,"*,"&amp;F21&amp;",*")+COUNTIF(K5:L5,F21)+COUNTIF(K5:L5,"*,"&amp;F21&amp;",*")+COUNTIF(N5:O5,F21)+COUNTIF(N5:O5,"*,"&amp;F21&amp;",*")+COUNTIF(B7:C7,F21)+COUNTIF(B7:C7,"*,"&amp;F21&amp;",*")+COUNTIF(E7:F7,F21)+COUNTIF(E7:F7,"*,"&amp;F21&amp;",*")+COUNTIF(H7:I7,F21)+COUNTIF(H7:I7,"*,"&amp;F21&amp;",*")+COUNTIF(K7:L7,F21)+COUNTIF(K7:L7,"*,"&amp;F21&amp;",*")+COUNTIF(N7:O7,F21)+COUNTIF(N7:O7,"*,"&amp;F21&amp;",*")+COUNTIF(B9:C9,F21)+COUNTIF(B9:C9,"*,"&amp;F21&amp;",*")+COUNTIF(E9:F9,F21)+COUNTIF(E9:F9,"*,"&amp;F21&amp;",*")+COUNTIF(H9:I9,F21)+COUNTIF(H9:I9,"*,"&amp;F21&amp;",*")+COUNTIF(K9:L9,F21)+COUNTIF(K9:L9,"*,"&amp;F21&amp;",*")+COUNTIF(N9:O9,F21)+COUNTIF(N9:O9,"*,"&amp;F21&amp;",*")+COUNTIF(B11:C11,F21)+COUNTIF(B11:C11,"*,"&amp;F21&amp;",*")+COUNTIF(E11:F11,F21)+COUNTIF(E11:F11,"*,"&amp;F21&amp;",*")+COUNTIF(H11:I11,F21)+COUNTIF(H11:I11,"*,"&amp;F21&amp;",*")+COUNTIF(K11:L11,F21)+COUNTIF(K11:L11,"*,"&amp;F21&amp;",*")+COUNTIF(N11:O11,F21)+COUNTIF(N11:O11,"*,"&amp;F21&amp;",*")+COUNTIF(B13:C13,F21)+COUNTIF(B13:C13,"*,"&amp;F21&amp;",*")+COUNTIF(E13:F13,F21)+COUNTIF(E13:F13,"*,"&amp;F21&amp;",*")+COUNTIF(H13:I13,F21)+COUNTIF(H13:I13,"*,"&amp;F21&amp;",*")+COUNTIF(K13:L13,F21)+COUNTIF(K13:L13,"*,"&amp;F21&amp;",*")+COUNTIF(N13:O13,F21)+COUNTIF(N13:O13,"*,"&amp;F21&amp;",*")+COUNTIF(B15:C15,F21)+COUNTIF(B15:C15,"*,"&amp;F21&amp;",*")+COUNTIF(E15:F15,F21)+COUNTIF(E15:F15,"*,"&amp;F21&amp;",*")+COUNTIF(H15:I15,F21)+COUNTIF(H15:I15,"*,"&amp;F21&amp;",*")+COUNTIF(K15:L15,F21)+COUNTIF(K15:L15,"*,"&amp;F21&amp;",*")+COUNTIF(N15:O15,F21)+COUNTIF(N15:O15,"*,"&amp;F21&amp;",*")+COUNTIF(B17:C17,F21)+COUNTIF(B17:C17,"*,"&amp;F21&amp;",*")+COUNTIF(E17:F17,F21)+COUNTIF(E17:F17,"*,"&amp;F21&amp;",*")+COUNTIF(H17:I17,F21)+COUNTIF(H17:I17,"*,"&amp;F21&amp;",*")+COUNTIF(K17:L17,F21)+COUNTIF(K17:L17,"*,"&amp;F21&amp;",*")+COUNTIF(N17:O17,F21)+COUNTIF(N17:O17,"*,"&amp;F21&amp;",*")))</f>
        <v/>
      </c>
      <c r="G24" s="21">
        <f>IF(G21="","",IF(COUNTIF(B5:C5,G21)+COUNTIF(B5:C5,"*,"&amp;G21&amp;",*")+COUNTIF(E5:F5,G21)+COUNTIF(E5:F5,"*,"&amp;G21&amp;",*")+COUNTIF(H5:I5,G21)+COUNTIF(H5:I5,"*,"&amp;G21&amp;",*")+COUNTIF(K5:L5,G21)+COUNTIF(K5:L5,"*,"&amp;G21&amp;",*")+COUNTIF(N5:O5,G21)+COUNTIF(N5:O5,"*,"&amp;G21&amp;",*")+COUNTIF(B7:C7,G21)+COUNTIF(B7:C7,"*,"&amp;G21&amp;",*")+COUNTIF(E7:F7,G21)+COUNTIF(E7:F7,"*,"&amp;G21&amp;",*")+COUNTIF(H7:I7,G21)+COUNTIF(H7:I7,"*,"&amp;G21&amp;",*")+COUNTIF(K7:L7,G21)+COUNTIF(K7:L7,"*,"&amp;G21&amp;",*")+COUNTIF(N7:O7,G21)+COUNTIF(N7:O7,"*,"&amp;G21&amp;",*")+COUNTIF(B9:C9,G21)+COUNTIF(B9:C9,"*,"&amp;G21&amp;",*")+COUNTIF(E9:F9,G21)+COUNTIF(E9:F9,"*,"&amp;G21&amp;",*")+COUNTIF(H9:I9,G21)+COUNTIF(H9:I9,"*,"&amp;G21&amp;",*")+COUNTIF(K9:L9,G21)+COUNTIF(K9:L9,"*,"&amp;G21&amp;",*")+COUNTIF(N9:O9,G21)+COUNTIF(N9:O9,"*,"&amp;G21&amp;",*")+COUNTIF(B11:C11,G21)+COUNTIF(B11:C11,"*,"&amp;G21&amp;",*")+COUNTIF(E11:F11,G21)+COUNTIF(E11:F11,"*,"&amp;G21&amp;",*")+COUNTIF(H11:I11,G21)+COUNTIF(H11:I11,"*,"&amp;G21&amp;",*")+COUNTIF(K11:L11,G21)+COUNTIF(K11:L11,"*,"&amp;G21&amp;",*")+COUNTIF(N11:O11,G21)+COUNTIF(N11:O11,"*,"&amp;G21&amp;",*")+COUNTIF(B13:C13,G21)+COUNTIF(B13:C13,"*,"&amp;G21&amp;",*")+COUNTIF(E13:F13,G21)+COUNTIF(E13:F13,"*,"&amp;G21&amp;",*")+COUNTIF(H13:I13,G21)+COUNTIF(H13:I13,"*,"&amp;G21&amp;",*")+COUNTIF(K13:L13,G21)+COUNTIF(K13:L13,"*,"&amp;G21&amp;",*")+COUNTIF(N13:O13,G21)+COUNTIF(N13:O13,"*,"&amp;G21&amp;",*")+COUNTIF(B15:C15,G21)+COUNTIF(B15:C15,"*,"&amp;G21&amp;",*")+COUNTIF(E15:F15,G21)+COUNTIF(E15:F15,"*,"&amp;G21&amp;",*")+COUNTIF(H15:I15,G21)+COUNTIF(H15:I15,"*,"&amp;G21&amp;",*")+COUNTIF(K15:L15,G21)+COUNTIF(K15:L15,"*,"&amp;G21&amp;",*")+COUNTIF(N15:O15,G21)+COUNTIF(N15:O15,"*,"&amp;G21&amp;",*")+COUNTIF(B17:C17,G21)+COUNTIF(B17:C17,"*,"&amp;G21&amp;",*")+COUNTIF(E17:F17,G21)+COUNTIF(E17:F17,"*,"&amp;G21&amp;",*")+COUNTIF(H17:I17,G21)+COUNTIF(H17:I17,"*,"&amp;G21&amp;",*")+COUNTIF(K17:L17,G21)+COUNTIF(K17:L17,"*,"&amp;G21&amp;",*")+COUNTIF(N17:O17,G21)+COUNTIF(N17:O17,"*,"&amp;G21&amp;",*")=0,"",COUNTIF(B5:C5,G21)+COUNTIF(B5:C5,"*,"&amp;G21&amp;",*")+COUNTIF(E5:F5,G21)+COUNTIF(E5:F5,"*,"&amp;G21&amp;",*")+COUNTIF(H5:I5,G21)+COUNTIF(H5:I5,"*,"&amp;G21&amp;",*")+COUNTIF(K5:L5,G21)+COUNTIF(K5:L5,"*,"&amp;G21&amp;",*")+COUNTIF(N5:O5,G21)+COUNTIF(N5:O5,"*,"&amp;G21&amp;",*")+COUNTIF(B7:C7,G21)+COUNTIF(B7:C7,"*,"&amp;G21&amp;",*")+COUNTIF(E7:F7,G21)+COUNTIF(E7:F7,"*,"&amp;G21&amp;",*")+COUNTIF(H7:I7,G21)+COUNTIF(H7:I7,"*,"&amp;G21&amp;",*")+COUNTIF(K7:L7,G21)+COUNTIF(K7:L7,"*,"&amp;G21&amp;",*")+COUNTIF(N7:O7,G21)+COUNTIF(N7:O7,"*,"&amp;G21&amp;",*")+COUNTIF(B9:C9,G21)+COUNTIF(B9:C9,"*,"&amp;G21&amp;",*")+COUNTIF(E9:F9,G21)+COUNTIF(E9:F9,"*,"&amp;G21&amp;",*")+COUNTIF(H9:I9,G21)+COUNTIF(H9:I9,"*,"&amp;G21&amp;",*")+COUNTIF(K9:L9,G21)+COUNTIF(K9:L9,"*,"&amp;G21&amp;",*")+COUNTIF(N9:O9,G21)+COUNTIF(N9:O9,"*,"&amp;G21&amp;",*")+COUNTIF(B11:C11,G21)+COUNTIF(B11:C11,"*,"&amp;G21&amp;",*")+COUNTIF(E11:F11,G21)+COUNTIF(E11:F11,"*,"&amp;G21&amp;",*")+COUNTIF(H11:I11,G21)+COUNTIF(H11:I11,"*,"&amp;G21&amp;",*")+COUNTIF(K11:L11,G21)+COUNTIF(K11:L11,"*,"&amp;G21&amp;",*")+COUNTIF(N11:O11,G21)+COUNTIF(N11:O11,"*,"&amp;G21&amp;",*")+COUNTIF(B13:C13,G21)+COUNTIF(B13:C13,"*,"&amp;G21&amp;",*")+COUNTIF(E13:F13,G21)+COUNTIF(E13:F13,"*,"&amp;G21&amp;",*")+COUNTIF(H13:I13,G21)+COUNTIF(H13:I13,"*,"&amp;G21&amp;",*")+COUNTIF(K13:L13,G21)+COUNTIF(K13:L13,"*,"&amp;G21&amp;",*")+COUNTIF(N13:O13,G21)+COUNTIF(N13:O13,"*,"&amp;G21&amp;",*")+COUNTIF(B15:C15,G21)+COUNTIF(B15:C15,"*,"&amp;G21&amp;",*")+COUNTIF(E15:F15,G21)+COUNTIF(E15:F15,"*,"&amp;G21&amp;",*")+COUNTIF(H15:I15,G21)+COUNTIF(H15:I15,"*,"&amp;G21&amp;",*")+COUNTIF(K15:L15,G21)+COUNTIF(K15:L15,"*,"&amp;G21&amp;",*")+COUNTIF(N15:O15,G21)+COUNTIF(N15:O15,"*,"&amp;G21&amp;",*")+COUNTIF(B17:C17,G21)+COUNTIF(B17:C17,"*,"&amp;G21&amp;",*")+COUNTIF(E17:F17,G21)+COUNTIF(E17:F17,"*,"&amp;G21&amp;",*")+COUNTIF(H17:I17,G21)+COUNTIF(H17:I17,"*,"&amp;G21&amp;",*")+COUNTIF(K17:L17,G21)+COUNTIF(K17:L17,"*,"&amp;G21&amp;",*")+COUNTIF(N17:O17,G21)+COUNTIF(N17:O17,"*,"&amp;G21&amp;",*")))</f>
        <v/>
      </c>
      <c r="H24" s="21"/>
      <c r="I24" s="21"/>
      <c r="J24" s="21"/>
      <c r="K24" s="21"/>
      <c r="L24" s="21"/>
      <c r="M24" s="21">
        <f>IF(COUNTIF(B5:C5,"特活")+COUNTIF(B5:C5,"学活")+COUNTIF(E5:F5,"特活")+COUNTIF(E5:F5,"学活")+COUNTIF(H5:I5,"特活")+COUNTIF(H5:I5,"学活")+COUNTIF(K5:L5,"特活")+COUNTIF(K5:L5,"学活")+COUNTIF(N5:O5,"特活")+COUNTIF(N5:O5,"学活")+COUNTIF(B7:C7,"特活")+COUNTIF(B7:C7,"学活")+COUNTIF(E7:F7,"特活")+COUNTIF(E7:F7,"学活")+COUNTIF(H7:I7,"特活")+COUNTIF(H7:I7,"学活")+COUNTIF(K7:L7,"特活")+COUNTIF(K7:L7,"学活")+COUNTIF(N7:O7,"特活")+COUNTIF(N7:O7,"学活")+COUNTIF(B9:C9,"特活")+COUNTIF(B9:C9,"学活")+COUNTIF(E9:F9,"特活")+COUNTIF(E9:F9,"学活")+COUNTIF(H9:I9,"特活")+COUNTIF(H9:I9,"学活")+COUNTIF(K9:L9,"特活")+COUNTIF(K9:L9,"学活")+COUNTIF(N9:O9,"特活")+COUNTIF(N9:O9,"学活")+COUNTIF(B11:C11,"特活")+COUNTIF(B11:C11,"学活")+COUNTIF(E11:F11,"特活")+COUNTIF(E11:F11,"学活")+COUNTIF(H11:I11,"特活")+COUNTIF(H11:I11,"学活")+COUNTIF(K11:L11,"特活")+COUNTIF(K11:L11,"学活")+COUNTIF(N11:O11,"特活")+COUNTIF(N11:O11,"学活")+COUNTIF(B13:C13,"特活")+COUNTIF(B13:C13,"学活")+COUNTIF(E13:F13,"特活")+COUNTIF(E13:F13,"学活")+COUNTIF(H13:I13,"特活")+COUNTIF(H13:I13,"学活")+COUNTIF(K13:L13,"特活")+COUNTIF(K13:L13,"学活")+COUNTIF(N13:O13,"特活")+COUNTIF(N13:O13,"学活")+COUNTIF(B15:C15,"特活")+COUNTIF(B15:C15,"学活")+COUNTIF(E15:F15,"特活")+COUNTIF(E15:F15,"学活")+COUNTIF(H15:I15,"特活")+COUNTIF(H15:I15,"学活")+COUNTIF(K15:L15,"特活")+COUNTIF(K15:L15,"学活")+COUNTIF(N15:O15,"特活")+COUNTIF(N15:O15,"学活")+COUNTIF(B17:C17,"特活")+COUNTIF(B17:C17,"学活")+COUNTIF(E17:F17,"特活")+COUNTIF(E17:F17,"学活")+COUNTIF(H17:I17,"特活")+COUNTIF(H17:I17,"学活")+COUNTIF(K17:L17,"特活")+COUNTIF(K17:L17,"学活")+COUNTIF(N17:O17,"特活")+COUNTIF(N17:O17,"学活")=0,"",COUNTIF(B5:C5,"特活")+COUNTIF(B5:C5,"学活")+COUNTIF(E5:F5,"特活")+COUNTIF(E5:F5,"学活")+COUNTIF(H5:I5,"特活")+COUNTIF(H5:I5,"学活")+COUNTIF(K5:L5,"特活")+COUNTIF(K5:L5,"学活")+COUNTIF(N5:O5,"特活")+COUNTIF(N5:O5,"学活")+COUNTIF(B7:C7,"特活")+COUNTIF(B7:C7,"学活")+COUNTIF(E7:F7,"特活")+COUNTIF(E7:F7,"学活")+COUNTIF(H7:I7,"特活")+COUNTIF(H7:I7,"学活")+COUNTIF(K7:L7,"特活")+COUNTIF(K7:L7,"学活")+COUNTIF(N7:O7,"特活")+COUNTIF(N7:O7,"学活")+COUNTIF(B9:C9,"特活")+COUNTIF(B9:C9,"学活")+COUNTIF(E9:F9,"特活")+COUNTIF(E9:F9,"学活")+COUNTIF(H9:I9,"特活")+COUNTIF(H9:I9,"学活")+COUNTIF(K9:L9,"特活")+COUNTIF(K9:L9,"学活")+COUNTIF(N9:O9,"特活")+COUNTIF(N9:O9,"学活")+COUNTIF(B11:C11,"特活")+COUNTIF(B11:C11,"学活")+COUNTIF(E11:F11,"特活")+COUNTIF(E11:F11,"学活")+COUNTIF(H11:I11,"特活")+COUNTIF(H11:I11,"学活")+COUNTIF(K11:L11,"特活")+COUNTIF(K11:L11,"学活")+COUNTIF(N11:O11,"特活")+COUNTIF(N11:O11,"学活")+COUNTIF(B13:C13,"特活")+COUNTIF(B13:C13,"学活")+COUNTIF(E13:F13,"特活")+COUNTIF(E13:F13,"学活")+COUNTIF(H13:I13,"特活")+COUNTIF(H13:I13,"学活")+COUNTIF(K13:L13,"特活")+COUNTIF(K13:L13,"学活")+COUNTIF(N13:O13,"特活")+COUNTIF(N13:O13,"学活")+COUNTIF(B15:C15,"特活")+COUNTIF(B15:C15,"学活")+COUNTIF(E15:F15,"特活")+COUNTIF(E15:F15,"学活")+COUNTIF(H15:I15,"特活")+COUNTIF(H15:I15,"学活")+COUNTIF(K15:L15,"特活")+COUNTIF(K15:L15,"学活")+COUNTIF(N15:O15,"特活")+COUNTIF(N15:O15,"学活")+COUNTIF(B17:C17,"特活")+COUNTIF(B17:C17,"学活")+COUNTIF(E17:F17,"特活")+COUNTIF(E17:F17,"学活")+COUNTIF(H17:I17,"特活")+COUNTIF(H17:I17,"学活")+COUNTIF(K17:L17,"特活")+COUNTIF(K17:L17,"学活")+COUNTIF(N17:O17,"特活")+COUNTIF(N17:O17,"学活"))</f>
        <v/>
      </c>
      <c r="N24" s="21">
        <f>IF(COUNTIF(B5:C5,N21)+COUNTIF(B5:C5,"*,"&amp;N21&amp;",*")+COUNTIF(E5:F5,N21)+COUNTIF(E5:F5,"*,"&amp;N21&amp;",*")+COUNTIF(H5:I5,N21)+COUNTIF(H5:I5,"*,"&amp;N21&amp;",*")+COUNTIF(K5:L5,N21)+COUNTIF(K5:L5,"*,"&amp;N21&amp;",*")+COUNTIF(N5:O5,N21)+COUNTIF(N5:O5,"*,"&amp;N21&amp;",*")+COUNTIF(B7:C7,N21)+COUNTIF(B7:C7,"*,"&amp;N21&amp;",*")+COUNTIF(E7:F7,N21)+COUNTIF(E7:F7,"*,"&amp;N21&amp;",*")+COUNTIF(H7:I7,N21)+COUNTIF(H7:I7,"*,"&amp;N21&amp;",*")+COUNTIF(K7:L7,N21)+COUNTIF(K7:L7,"*,"&amp;N21&amp;",*")+COUNTIF(N7:O7,N21)+COUNTIF(N7:O7,"*,"&amp;N21&amp;",*")+COUNTIF(B9:C9,N21)+COUNTIF(B9:C9,"*,"&amp;N21&amp;",*")+COUNTIF(E9:F9,N21)+COUNTIF(E9:F9,"*,"&amp;N21&amp;",*")+COUNTIF(H9:I9,N21)+COUNTIF(H9:I9,"*,"&amp;N21&amp;",*")+COUNTIF(K9:L9,N21)+COUNTIF(K9:L9,"*,"&amp;N21&amp;",*")+COUNTIF(N9:O9,N21)+COUNTIF(N9:O9,"*,"&amp;N21&amp;",*")+COUNTIF(B11:C11,N21)+COUNTIF(B11:C11,"*,"&amp;N21&amp;",*")+COUNTIF(E11:F11,N21)+COUNTIF(E11:F11,"*,"&amp;N21&amp;",*")+COUNTIF(H11:I11,N21)+COUNTIF(H11:I11,"*,"&amp;N21&amp;",*")+COUNTIF(K11:L11,N21)+COUNTIF(K11:L11,"*,"&amp;N21&amp;",*")+COUNTIF(N11:O11,N21)+COUNTIF(N11:O11,"*,"&amp;N21&amp;",*")+COUNTIF(B13:C13,N21)+COUNTIF(B13:C13,"*,"&amp;N21&amp;",*")+COUNTIF(E13:F13,N21)+COUNTIF(E13:F13,"*,"&amp;N21&amp;",*")+COUNTIF(H13:I13,N21)+COUNTIF(H13:I13,"*,"&amp;N21&amp;",*")+COUNTIF(K13:L13,N21)+COUNTIF(K13:L13,"*,"&amp;N21&amp;",*")+COUNTIF(N13:O13,N21)+COUNTIF(N13:O13,"*,"&amp;N21&amp;",*")+COUNTIF(B15:C15,N21)+COUNTIF(B15:C15,"*,"&amp;N21&amp;",*")+COUNTIF(E15:F15,N21)+COUNTIF(E15:F15,"*,"&amp;N21&amp;",*")+COUNTIF(H15:I15,N21)+COUNTIF(H15:I15,"*,"&amp;N21&amp;",*")+COUNTIF(K15:L15,N21)+COUNTIF(K15:L15,"*,"&amp;N21&amp;",*")+COUNTIF(N15:O15,N21)+COUNTIF(N15:O15,"*,"&amp;N21&amp;",*")+COUNTIF(B17:C17,N21)+COUNTIF(B17:C17,"*,"&amp;N21&amp;",*")+COUNTIF(E17:F17,N21)+COUNTIF(E17:F17,"*,"&amp;N21&amp;",*")+COUNTIF(H17:I17,N21)+COUNTIF(H17:I17,"*,"&amp;N21&amp;",*")+COUNTIF(K17:L17,N21)+COUNTIF(K17:L17,"*,"&amp;N21&amp;",*")+COUNTIF(N17:O17,N21)+COUNTIF(N17:O17,"*,"&amp;N21&amp;",*")=0,"",COUNTIF(B5:C5,N21)+COUNTIF(B5:C5,"*,"&amp;N21&amp;",*")+COUNTIF(E5:F5,N21)+COUNTIF(E5:F5,"*,"&amp;N21&amp;",*")+COUNTIF(H5:I5,N21)+COUNTIF(H5:I5,"*,"&amp;N21&amp;",*")+COUNTIF(K5:L5,N21)+COUNTIF(K5:L5,"*,"&amp;N21&amp;",*")+COUNTIF(N5:O5,N21)+COUNTIF(N5:O5,"*,"&amp;N21&amp;",*")+COUNTIF(B7:C7,N21)+COUNTIF(B7:C7,"*,"&amp;N21&amp;",*")+COUNTIF(E7:F7,N21)+COUNTIF(E7:F7,"*,"&amp;N21&amp;",*")+COUNTIF(H7:I7,N21)+COUNTIF(H7:I7,"*,"&amp;N21&amp;",*")+COUNTIF(K7:L7,N21)+COUNTIF(K7:L7,"*,"&amp;N21&amp;",*")+COUNTIF(N7:O7,N21)+COUNTIF(N7:O7,"*,"&amp;N21&amp;",*")+COUNTIF(B9:C9,N21)+COUNTIF(B9:C9,"*,"&amp;N21&amp;",*")+COUNTIF(E9:F9,N21)+COUNTIF(E9:F9,"*,"&amp;N21&amp;",*")+COUNTIF(H9:I9,N21)+COUNTIF(H9:I9,"*,"&amp;N21&amp;",*")+COUNTIF(K9:L9,N21)+COUNTIF(K9:L9,"*,"&amp;N21&amp;",*")+COUNTIF(N9:O9,N21)+COUNTIF(N9:O9,"*,"&amp;N21&amp;",*")+COUNTIF(B11:C11,N21)+COUNTIF(B11:C11,"*,"&amp;N21&amp;",*")+COUNTIF(E11:F11,N21)+COUNTIF(E11:F11,"*,"&amp;N21&amp;",*")+COUNTIF(H11:I11,N21)+COUNTIF(H11:I11,"*,"&amp;N21&amp;",*")+COUNTIF(K11:L11,N21)+COUNTIF(K11:L11,"*,"&amp;N21&amp;",*")+COUNTIF(N11:O11,N21)+COUNTIF(N11:O11,"*,"&amp;N21&amp;",*")+COUNTIF(B13:C13,N21)+COUNTIF(B13:C13,"*,"&amp;N21&amp;",*")+COUNTIF(E13:F13,N21)+COUNTIF(E13:F13,"*,"&amp;N21&amp;",*")+COUNTIF(H13:I13,N21)+COUNTIF(H13:I13,"*,"&amp;N21&amp;",*")+COUNTIF(K13:L13,N21)+COUNTIF(K13:L13,"*,"&amp;N21&amp;",*")+COUNTIF(N13:O13,N21)+COUNTIF(N13:O13,"*,"&amp;N21&amp;",*")+COUNTIF(B15:C15,N21)+COUNTIF(B15:C15,"*,"&amp;N21&amp;",*")+COUNTIF(E15:F15,N21)+COUNTIF(E15:F15,"*,"&amp;N21&amp;",*")+COUNTIF(H15:I15,N21)+COUNTIF(H15:I15,"*,"&amp;N21&amp;",*")+COUNTIF(K15:L15,N21)+COUNTIF(K15:L15,"*,"&amp;N21&amp;",*")+COUNTIF(N15:O15,N21)+COUNTIF(N15:O15,"*,"&amp;N21&amp;",*")+COUNTIF(B17:C17,N21)+COUNTIF(B17:C17,"*,"&amp;N21&amp;",*")+COUNTIF(E17:F17,N21)+COUNTIF(E17:F17,"*,"&amp;N21&amp;",*")+COUNTIF(H17:I17,N21)+COUNTIF(H17:I17,"*,"&amp;N21&amp;",*")+COUNTIF(K17:L17,N21)+COUNTIF(K17:L17,"*,"&amp;N21&amp;",*")+COUNTIF(N17:O17,N21)+COUNTIF(N17:O17,"*,"&amp;N21&amp;",*"))</f>
        <v/>
      </c>
      <c r="O24" s="21">
        <f>IF(COUNTIF(B5:C5,O21)+COUNTIF(B5:C5,"*,"&amp;O21&amp;",*")+COUNTIF(E5:F5,O21)+COUNTIF(E5:F5,"*,"&amp;O21&amp;",*")+COUNTIF(H5:I5,O21)+COUNTIF(H5:I5,"*,"&amp;O21&amp;",*")+COUNTIF(K5:L5,O21)+COUNTIF(K5:L5,"*,"&amp;O21&amp;",*")+COUNTIF(N5:O5,O21)+COUNTIF(N5:O5,"*,"&amp;O21&amp;",*")+COUNTIF(B7:C7,O21)+COUNTIF(B7:C7,"*,"&amp;O21&amp;",*")+COUNTIF(E7:F7,O21)+COUNTIF(E7:F7,"*,"&amp;O21&amp;",*")+COUNTIF(H7:I7,O21)+COUNTIF(H7:I7,"*,"&amp;O21&amp;",*")+COUNTIF(K7:L7,O21)+COUNTIF(K7:L7,"*,"&amp;O21&amp;",*")+COUNTIF(N7:O7,O21)+COUNTIF(N7:O7,"*,"&amp;O21&amp;",*")+COUNTIF(B9:C9,O21)+COUNTIF(B9:C9,"*,"&amp;O21&amp;",*")+COUNTIF(E9:F9,O21)+COUNTIF(E9:F9,"*,"&amp;O21&amp;",*")+COUNTIF(H9:I9,O21)+COUNTIF(H9:I9,"*,"&amp;O21&amp;",*")+COUNTIF(K9:L9,O21)+COUNTIF(K9:L9,"*,"&amp;O21&amp;",*")+COUNTIF(N9:O9,O21)+COUNTIF(N9:O9,"*,"&amp;O21&amp;",*")+COUNTIF(B11:C11,O21)+COUNTIF(B11:C11,"*,"&amp;O21&amp;",*")+COUNTIF(E11:F11,O21)+COUNTIF(E11:F11,"*,"&amp;O21&amp;",*")+COUNTIF(H11:I11,O21)+COUNTIF(H11:I11,"*,"&amp;O21&amp;",*")+COUNTIF(K11:L11,O21)+COUNTIF(K11:L11,"*,"&amp;O21&amp;",*")+COUNTIF(N11:O11,O21)+COUNTIF(N11:O11,"*,"&amp;O21&amp;",*")+COUNTIF(B13:C13,O21)+COUNTIF(B13:C13,"*,"&amp;O21&amp;",*")+COUNTIF(E13:F13,O21)+COUNTIF(E13:F13,"*,"&amp;O21&amp;",*")+COUNTIF(H13:I13,O21)+COUNTIF(H13:I13,"*,"&amp;O21&amp;",*")+COUNTIF(K13:L13,O21)+COUNTIF(K13:L13,"*,"&amp;O21&amp;",*")+COUNTIF(N13:O13,O21)+COUNTIF(N13:O13,"*,"&amp;O21&amp;",*")+COUNTIF(B15:C15,O21)+COUNTIF(B15:C15,"*,"&amp;O21&amp;",*")+COUNTIF(E15:F15,O21)+COUNTIF(E15:F15,"*,"&amp;O21&amp;",*")+COUNTIF(H15:I15,O21)+COUNTIF(H15:I15,"*,"&amp;O21&amp;",*")+COUNTIF(K15:L15,O21)+COUNTIF(K15:L15,"*,"&amp;O21&amp;",*")+COUNTIF(N15:O15,O21)+COUNTIF(N15:O15,"*,"&amp;O21&amp;",*")+COUNTIF(B17:C17,O21)+COUNTIF(B17:C17,"*,"&amp;O21&amp;",*")+COUNTIF(E17:F17,O21)+COUNTIF(E17:F17,"*,"&amp;O21&amp;",*")+COUNTIF(H17:I17,O21)+COUNTIF(H17:I17,"*,"&amp;O21&amp;",*")+COUNTIF(K17:L17,O21)+COUNTIF(K17:L17,"*,"&amp;O21&amp;",*")+COUNTIF(N17:O17,O21)+COUNTIF(N17:O17,"*,"&amp;O21&amp;",*")=0,"",COUNTIF(B5:C5,O21)+COUNTIF(B5:C5,"*,"&amp;O21&amp;",*")+COUNTIF(E5:F5,O21)+COUNTIF(E5:F5,"*,"&amp;O21&amp;",*")+COUNTIF(H5:I5,O21)+COUNTIF(H5:I5,"*,"&amp;O21&amp;",*")+COUNTIF(K5:L5,O21)+COUNTIF(K5:L5,"*,"&amp;O21&amp;",*")+COUNTIF(N5:O5,O21)+COUNTIF(N5:O5,"*,"&amp;O21&amp;",*")+COUNTIF(B7:C7,O21)+COUNTIF(B7:C7,"*,"&amp;O21&amp;",*")+COUNTIF(E7:F7,O21)+COUNTIF(E7:F7,"*,"&amp;O21&amp;",*")+COUNTIF(H7:I7,O21)+COUNTIF(H7:I7,"*,"&amp;O21&amp;",*")+COUNTIF(K7:L7,O21)+COUNTIF(K7:L7,"*,"&amp;O21&amp;",*")+COUNTIF(N7:O7,O21)+COUNTIF(N7:O7,"*,"&amp;O21&amp;",*")+COUNTIF(B9:C9,O21)+COUNTIF(B9:C9,"*,"&amp;O21&amp;",*")+COUNTIF(E9:F9,O21)+COUNTIF(E9:F9,"*,"&amp;O21&amp;",*")+COUNTIF(H9:I9,O21)+COUNTIF(H9:I9,"*,"&amp;O21&amp;",*")+COUNTIF(K9:L9,O21)+COUNTIF(K9:L9,"*,"&amp;O21&amp;",*")+COUNTIF(N9:O9,O21)+COUNTIF(N9:O9,"*,"&amp;O21&amp;",*")+COUNTIF(B11:C11,O21)+COUNTIF(B11:C11,"*,"&amp;O21&amp;",*")+COUNTIF(E11:F11,O21)+COUNTIF(E11:F11,"*,"&amp;O21&amp;",*")+COUNTIF(H11:I11,O21)+COUNTIF(H11:I11,"*,"&amp;O21&amp;",*")+COUNTIF(K11:L11,O21)+COUNTIF(K11:L11,"*,"&amp;O21&amp;",*")+COUNTIF(N11:O11,O21)+COUNTIF(N11:O11,"*,"&amp;O21&amp;",*")+COUNTIF(B13:C13,O21)+COUNTIF(B13:C13,"*,"&amp;O21&amp;",*")+COUNTIF(E13:F13,O21)+COUNTIF(E13:F13,"*,"&amp;O21&amp;",*")+COUNTIF(H13:I13,O21)+COUNTIF(H13:I13,"*,"&amp;O21&amp;",*")+COUNTIF(K13:L13,O21)+COUNTIF(K13:L13,"*,"&amp;O21&amp;",*")+COUNTIF(N13:O13,O21)+COUNTIF(N13:O13,"*,"&amp;O21&amp;",*")+COUNTIF(B15:C15,O21)+COUNTIF(B15:C15,"*,"&amp;O21&amp;",*")+COUNTIF(E15:F15,O21)+COUNTIF(E15:F15,"*,"&amp;O21&amp;",*")+COUNTIF(H15:I15,O21)+COUNTIF(H15:I15,"*,"&amp;O21&amp;",*")+COUNTIF(K15:L15,O21)+COUNTIF(K15:L15,"*,"&amp;O21&amp;",*")+COUNTIF(N15:O15,O21)+COUNTIF(N15:O15,"*,"&amp;O21&amp;",*")+COUNTIF(B17:C17,O21)+COUNTIF(B17:C17,"*,"&amp;O21&amp;",*")+COUNTIF(E17:F17,O21)+COUNTIF(E17:F17,"*,"&amp;O21&amp;",*")+COUNTIF(H17:I17,O21)+COUNTIF(H17:I17,"*,"&amp;O21&amp;",*")+COUNTIF(K17:L17,O21)+COUNTIF(K17:L17,"*,"&amp;O21&amp;",*")+COUNTIF(N17:O17,O21)+COUNTIF(N17:O17,"*,"&amp;O21&amp;",*"))</f>
        <v/>
      </c>
      <c r="P24" s="22">
        <f>IF(SUM(B24:O24)=0,"",SUM(B24:O24))</f>
        <v/>
      </c>
    </row>
    <row r="25" spans="1:16" ht="13.5" customHeight="1" x14ac:dyDescent="0.2">
      <c r="A25" s="23" t="s">
        <v>52</v>
      </c>
      <c r="B25" s="26"/>
      <c r="C25" s="26"/>
      <c r="D25" s="26"/>
      <c r="E25" s="26"/>
      <c r="F25" s="26"/>
      <c r="G25" s="26"/>
      <c r="H25" s="26"/>
      <c r="I25" s="26"/>
      <c r="J25" s="26"/>
      <c r="K25" s="26"/>
      <c r="L25" s="26"/>
      <c r="M25" s="26"/>
      <c r="N25" s="26"/>
      <c r="O25" s="24"/>
      <c r="P25" s="18">
        <f>IF(SUM(B25:O25)=0,"",SUM(B25:O25))</f>
        <v/>
      </c>
    </row>
  </sheetData>
  <sheetProtection sheet="1" objects="1" scenarios="1"/>
  <mergeCells count="104">
    <mergeCell ref="N19:P19"/>
    <mergeCell ref="A23:A24"/>
    <mergeCell ref="N17:O17"/>
    <mergeCell ref="B18:D18"/>
    <mergeCell ref="E18:G18"/>
    <mergeCell ref="H18:J18"/>
    <mergeCell ref="K18:M18"/>
    <mergeCell ref="N18:P18"/>
    <mergeCell ref="A17:A18"/>
    <mergeCell ref="B17:C17"/>
    <mergeCell ref="E17:F17"/>
    <mergeCell ref="H17:I17"/>
    <mergeCell ref="K17:L17"/>
    <mergeCell ref="B19:D19"/>
    <mergeCell ref="E19:G19"/>
    <mergeCell ref="H19:J19"/>
    <mergeCell ref="K19:M19"/>
    <mergeCell ref="A15:A16"/>
    <mergeCell ref="B15:C15"/>
    <mergeCell ref="E15:F15"/>
    <mergeCell ref="H15:I15"/>
    <mergeCell ref="K15:L15"/>
    <mergeCell ref="N15:O15"/>
    <mergeCell ref="B16:D16"/>
    <mergeCell ref="E16:G16"/>
    <mergeCell ref="H16:J16"/>
    <mergeCell ref="K16:M16"/>
    <mergeCell ref="N16:P16"/>
    <mergeCell ref="A13:A14"/>
    <mergeCell ref="B13:C13"/>
    <mergeCell ref="E13:F13"/>
    <mergeCell ref="H13:I13"/>
    <mergeCell ref="K13:L13"/>
    <mergeCell ref="N13:O13"/>
    <mergeCell ref="B14:D14"/>
    <mergeCell ref="E14:G14"/>
    <mergeCell ref="H14:J14"/>
    <mergeCell ref="K14:M14"/>
    <mergeCell ref="N14:P14"/>
    <mergeCell ref="A11:A12"/>
    <mergeCell ref="B11:C11"/>
    <mergeCell ref="E11:F11"/>
    <mergeCell ref="H11:I11"/>
    <mergeCell ref="K11:L11"/>
    <mergeCell ref="N11:O11"/>
    <mergeCell ref="B12:D12"/>
    <mergeCell ref="E12:G12"/>
    <mergeCell ref="H12:J12"/>
    <mergeCell ref="K12:M12"/>
    <mergeCell ref="N12:P12"/>
    <mergeCell ref="N8:P8"/>
    <mergeCell ref="A9:A10"/>
    <mergeCell ref="B9:C9"/>
    <mergeCell ref="E9:F9"/>
    <mergeCell ref="H9:I9"/>
    <mergeCell ref="K9:L9"/>
    <mergeCell ref="N9:O9"/>
    <mergeCell ref="B10:D10"/>
    <mergeCell ref="E10:G10"/>
    <mergeCell ref="H10:J10"/>
    <mergeCell ref="A7:A8"/>
    <mergeCell ref="B7:C7"/>
    <mergeCell ref="E7:F7"/>
    <mergeCell ref="H7:I7"/>
    <mergeCell ref="K7:L7"/>
    <mergeCell ref="N7:O7"/>
    <mergeCell ref="B8:D8"/>
    <mergeCell ref="E8:G8"/>
    <mergeCell ref="H8:J8"/>
    <mergeCell ref="K8:M8"/>
    <mergeCell ref="K10:M10"/>
    <mergeCell ref="N10:P10"/>
    <mergeCell ref="A5:A6"/>
    <mergeCell ref="B5:C5"/>
    <mergeCell ref="E5:F5"/>
    <mergeCell ref="H5:I5"/>
    <mergeCell ref="K5:L5"/>
    <mergeCell ref="N2:P2"/>
    <mergeCell ref="B3:D3"/>
    <mergeCell ref="E3:G3"/>
    <mergeCell ref="H3:J3"/>
    <mergeCell ref="K3:M3"/>
    <mergeCell ref="N3:P3"/>
    <mergeCell ref="N5:O5"/>
    <mergeCell ref="B6:D6"/>
    <mergeCell ref="E6:G6"/>
    <mergeCell ref="H6:J6"/>
    <mergeCell ref="K6:M6"/>
    <mergeCell ref="N6:P6"/>
    <mergeCell ref="B4:D4"/>
    <mergeCell ref="E4:G4"/>
    <mergeCell ref="H4:J4"/>
    <mergeCell ref="K4:M4"/>
    <mergeCell ref="N4:P4"/>
    <mergeCell ref="A1:G1"/>
    <mergeCell ref="I1:J1"/>
    <mergeCell ref="K1:L1"/>
    <mergeCell ref="M1:N1"/>
    <mergeCell ref="O1:P1"/>
    <mergeCell ref="A2:A3"/>
    <mergeCell ref="B2:D2"/>
    <mergeCell ref="E2:G2"/>
    <mergeCell ref="H2:J2"/>
    <mergeCell ref="K2:M2"/>
  </mergeCells>
  <phoneticPr fontId="5"/>
  <dataValidations count="1">
    <dataValidation type="list" allowBlank="1" showInputMessage="1" sqref="D5 P17 M17 J17 G17 D17 P15 M15 J15 G15 D15 P13 M13 J13 G13 D13 P11 M11 J11 G11 D11 P9 M9 J9 G9 D9 P7 M7 J7 G7 D7 P5 M5 J5 G5" xr:uid="{9B2BC62A-4961-4D50-A6BD-EDC5A0DC3F6F}">
      <formula1>"×,月1,月2,月3,月4,月5,月6,月7,火1,火2,火3,火4,火5,火6,火7,水1,水2,水3,水4,水5,水6,水7,木1,木2,木3,木4,木5,木6,木7,金1,金2,金3,金4,金5,金6,金7"</formula1>
    </dataValidation>
  </dataValidations>
  <printOptions horizontalCentered="1"/>
  <pageMargins left="0.78740157480314965" right="0.78740157480314965" top="0.78740157480314965" bottom="0.78740157480314965" header="0" footer="0"/>
  <pageSetup paperSize="9" scale="93"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tn_0">
              <controlPr defaultSize="0" print="0" autoFill="0" autoPict="0" macro="[0]!ボタン_新しい週">
                <anchor moveWithCells="1" sizeWithCells="1">
                  <from>
                    <xdr:col>17</xdr:col>
                    <xdr:colOff>60960</xdr:colOff>
                    <xdr:row>3</xdr:row>
                    <xdr:rowOff>30480</xdr:rowOff>
                  </from>
                  <to>
                    <xdr:col>18</xdr:col>
                    <xdr:colOff>533400</xdr:colOff>
                    <xdr:row>3</xdr:row>
                    <xdr:rowOff>335280</xdr:rowOff>
                  </to>
                </anchor>
              </controlPr>
            </control>
          </mc:Choice>
        </mc:AlternateContent>
        <mc:AlternateContent xmlns:mc="http://schemas.openxmlformats.org/markup-compatibility/2006">
          <mc:Choice Requires="x14">
            <control shapeId="11266" r:id="rId5" name="Btn_1">
              <controlPr defaultSize="0" print="0" autoFill="0" autoPict="0" macro="[0]!ボタン_時間割展開">
                <anchor moveWithCells="1" sizeWithCells="1">
                  <from>
                    <xdr:col>17</xdr:col>
                    <xdr:colOff>60960</xdr:colOff>
                    <xdr:row>3</xdr:row>
                    <xdr:rowOff>441960</xdr:rowOff>
                  </from>
                  <to>
                    <xdr:col>18</xdr:col>
                    <xdr:colOff>533400</xdr:colOff>
                    <xdr:row>4</xdr:row>
                    <xdr:rowOff>45720</xdr:rowOff>
                  </to>
                </anchor>
              </controlPr>
            </control>
          </mc:Choice>
        </mc:AlternateContent>
        <mc:AlternateContent xmlns:mc="http://schemas.openxmlformats.org/markup-compatibility/2006">
          <mc:Choice Requires="x14">
            <control shapeId="11267" r:id="rId6" name="Btn_2">
              <controlPr defaultSize="0" print="0" autoFill="0" autoPict="0" macro="[0]!ボタン_累計更新">
                <anchor moveWithCells="1" sizeWithCells="1">
                  <from>
                    <xdr:col>17</xdr:col>
                    <xdr:colOff>60960</xdr:colOff>
                    <xdr:row>4</xdr:row>
                    <xdr:rowOff>144780</xdr:rowOff>
                  </from>
                  <to>
                    <xdr:col>18</xdr:col>
                    <xdr:colOff>533400</xdr:colOff>
                    <xdr:row>5</xdr:row>
                    <xdr:rowOff>220980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xr:uid="{E81A37EC-758F-408F-B7B5-A1330D804C59}">
          <x14:formula1>
            <xm:f>基本設定!$B$6:$B$20</xm:f>
          </x14:formula1>
          <xm:sqref>B5 N19 K19 H19 E19 B19 N17 K17 H17 E17 B17 N15 K15 H15 E15 B15 N13 K13 H13 E13 B13 N11 K11 H11 E11 B11 N9 K9 H9 E9 B9 N7 K7 H7 E7 B7 N5 K5 H5 E5</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B9739-E609-460D-B5A5-AAA0CC7B800C}">
  <sheetPr codeName="Sheet8">
    <tabColor rgb="FFC0392B"/>
    <pageSetUpPr fitToPage="1"/>
  </sheetPr>
  <dimension ref="A1:P25"/>
  <sheetViews>
    <sheetView topLeftCell="A12" workbookViewId="0">
      <selection sqref="A1:G1"/>
    </sheetView>
  </sheetViews>
  <sheetFormatPr defaultColWidth="8.77734375" defaultRowHeight="13.2" x14ac:dyDescent="0.2"/>
  <cols>
    <col min="1" max="1" width="5.44140625" customWidth="1"/>
    <col min="2" max="16" width="5.77734375" customWidth="1"/>
  </cols>
  <sheetData>
    <row r="1" spans="1:16" ht="50.1" customHeight="1" x14ac:dyDescent="0.2">
      <c r="A1" s="51" t="s">
        <v>34</v>
      </c>
      <c r="B1" s="52"/>
      <c r="C1" s="52"/>
      <c r="D1" s="52"/>
      <c r="E1" s="52"/>
      <c r="F1" s="52"/>
      <c r="G1" s="52"/>
      <c r="H1" s="8" t="s">
        <v>35</v>
      </c>
      <c r="I1" s="53" t="s">
        <v>36</v>
      </c>
      <c r="J1" s="54"/>
      <c r="K1" s="53" t="s">
        <v>37</v>
      </c>
      <c r="L1" s="54"/>
      <c r="M1" s="53" t="s">
        <v>38</v>
      </c>
      <c r="N1" s="54"/>
      <c r="O1" s="53" t="s">
        <v>39</v>
      </c>
      <c r="P1" s="54"/>
    </row>
    <row r="2" spans="1:16" ht="15.6" customHeight="1" x14ac:dyDescent="0.2">
      <c r="A2" s="55" t="s">
        <v>40</v>
      </c>
      <c r="B2" s="57" t="s">
        <v>29</v>
      </c>
      <c r="C2" s="57"/>
      <c r="D2" s="57"/>
      <c r="E2" s="59" t="s">
        <v>30</v>
      </c>
      <c r="F2" s="59"/>
      <c r="G2" s="59"/>
      <c r="H2" s="45" t="s">
        <v>31</v>
      </c>
      <c r="I2" s="45"/>
      <c r="J2" s="45"/>
      <c r="K2" s="47" t="s">
        <v>32</v>
      </c>
      <c r="L2" s="47"/>
      <c r="M2" s="47"/>
      <c r="N2" s="49" t="s">
        <v>33</v>
      </c>
      <c r="O2" s="49"/>
      <c r="P2" s="49"/>
    </row>
    <row r="3" spans="1:16" ht="15" customHeight="1" x14ac:dyDescent="0.2">
      <c r="A3" s="56"/>
      <c r="B3" s="58" t="s">
        <v>41</v>
      </c>
      <c r="C3" s="58"/>
      <c r="D3" s="58"/>
      <c r="E3" s="60" t="s">
        <v>42</v>
      </c>
      <c r="F3" s="60"/>
      <c r="G3" s="60"/>
      <c r="H3" s="46" t="s">
        <v>43</v>
      </c>
      <c r="I3" s="46"/>
      <c r="J3" s="46"/>
      <c r="K3" s="48" t="s">
        <v>44</v>
      </c>
      <c r="L3" s="48"/>
      <c r="M3" s="48"/>
      <c r="N3" s="50" t="s">
        <v>45</v>
      </c>
      <c r="O3" s="50"/>
      <c r="P3" s="50"/>
    </row>
    <row r="4" spans="1:16" ht="54.9" customHeight="1" x14ac:dyDescent="0.2">
      <c r="A4" s="9" t="s">
        <v>46</v>
      </c>
      <c r="B4" s="40"/>
      <c r="C4" s="40"/>
      <c r="D4" s="40"/>
      <c r="E4" s="41"/>
      <c r="F4" s="41"/>
      <c r="G4" s="41"/>
      <c r="H4" s="42"/>
      <c r="I4" s="42"/>
      <c r="J4" s="42"/>
      <c r="K4" s="43"/>
      <c r="L4" s="43"/>
      <c r="M4" s="43"/>
      <c r="N4" s="44"/>
      <c r="O4" s="44"/>
      <c r="P4" s="44"/>
    </row>
    <row r="5" spans="1:16" ht="18" customHeight="1" x14ac:dyDescent="0.2">
      <c r="A5" s="39">
        <v>1</v>
      </c>
      <c r="B5" s="37"/>
      <c r="C5" s="37"/>
      <c r="D5" s="25"/>
      <c r="E5" s="37"/>
      <c r="F5" s="37"/>
      <c r="G5" s="25"/>
      <c r="H5" s="37"/>
      <c r="I5" s="37"/>
      <c r="J5" s="25"/>
      <c r="K5" s="37"/>
      <c r="L5" s="37"/>
      <c r="M5" s="25"/>
      <c r="N5" s="37"/>
      <c r="O5" s="37"/>
      <c r="P5" s="25"/>
    </row>
    <row r="6" spans="1:16" ht="62.1" customHeight="1" x14ac:dyDescent="0.2">
      <c r="A6" s="39"/>
      <c r="B6" s="38"/>
      <c r="C6" s="38"/>
      <c r="D6" s="38"/>
      <c r="E6" s="38"/>
      <c r="F6" s="38"/>
      <c r="G6" s="38"/>
      <c r="H6" s="38"/>
      <c r="I6" s="38"/>
      <c r="J6" s="38"/>
      <c r="K6" s="38"/>
      <c r="L6" s="38"/>
      <c r="M6" s="38"/>
      <c r="N6" s="38"/>
      <c r="O6" s="38"/>
      <c r="P6" s="38"/>
    </row>
    <row r="7" spans="1:16" ht="18" customHeight="1" x14ac:dyDescent="0.2">
      <c r="A7" s="39">
        <v>2</v>
      </c>
      <c r="B7" s="37"/>
      <c r="C7" s="37"/>
      <c r="D7" s="25"/>
      <c r="E7" s="37"/>
      <c r="F7" s="37"/>
      <c r="G7" s="25"/>
      <c r="H7" s="37"/>
      <c r="I7" s="37"/>
      <c r="J7" s="25"/>
      <c r="K7" s="37"/>
      <c r="L7" s="37"/>
      <c r="M7" s="25"/>
      <c r="N7" s="37"/>
      <c r="O7" s="37"/>
      <c r="P7" s="25"/>
    </row>
    <row r="8" spans="1:16" ht="62.1" customHeight="1" x14ac:dyDescent="0.2">
      <c r="A8" s="39"/>
      <c r="B8" s="38"/>
      <c r="C8" s="38"/>
      <c r="D8" s="38"/>
      <c r="E8" s="38"/>
      <c r="F8" s="38"/>
      <c r="G8" s="38"/>
      <c r="H8" s="38"/>
      <c r="I8" s="38"/>
      <c r="J8" s="38"/>
      <c r="K8" s="38"/>
      <c r="L8" s="38"/>
      <c r="M8" s="38"/>
      <c r="N8" s="38"/>
      <c r="O8" s="38"/>
      <c r="P8" s="38"/>
    </row>
    <row r="9" spans="1:16" ht="18" customHeight="1" x14ac:dyDescent="0.2">
      <c r="A9" s="39">
        <v>3</v>
      </c>
      <c r="B9" s="37"/>
      <c r="C9" s="37"/>
      <c r="D9" s="25"/>
      <c r="E9" s="37"/>
      <c r="F9" s="37"/>
      <c r="G9" s="25"/>
      <c r="H9" s="37"/>
      <c r="I9" s="37"/>
      <c r="J9" s="25"/>
      <c r="K9" s="37"/>
      <c r="L9" s="37"/>
      <c r="M9" s="25"/>
      <c r="N9" s="37"/>
      <c r="O9" s="37"/>
      <c r="P9" s="25"/>
    </row>
    <row r="10" spans="1:16" ht="62.1" customHeight="1" x14ac:dyDescent="0.2">
      <c r="A10" s="39"/>
      <c r="B10" s="38"/>
      <c r="C10" s="38"/>
      <c r="D10" s="38"/>
      <c r="E10" s="38"/>
      <c r="F10" s="38"/>
      <c r="G10" s="38"/>
      <c r="H10" s="38"/>
      <c r="I10" s="38"/>
      <c r="J10" s="38"/>
      <c r="K10" s="38"/>
      <c r="L10" s="38"/>
      <c r="M10" s="38"/>
      <c r="N10" s="38"/>
      <c r="O10" s="38"/>
      <c r="P10" s="38"/>
    </row>
    <row r="11" spans="1:16" ht="18" customHeight="1" x14ac:dyDescent="0.2">
      <c r="A11" s="39">
        <v>4</v>
      </c>
      <c r="B11" s="37"/>
      <c r="C11" s="37"/>
      <c r="D11" s="25"/>
      <c r="E11" s="37"/>
      <c r="F11" s="37"/>
      <c r="G11" s="25"/>
      <c r="H11" s="37"/>
      <c r="I11" s="37"/>
      <c r="J11" s="25"/>
      <c r="K11" s="37"/>
      <c r="L11" s="37"/>
      <c r="M11" s="25"/>
      <c r="N11" s="37"/>
      <c r="O11" s="37"/>
      <c r="P11" s="25"/>
    </row>
    <row r="12" spans="1:16" ht="62.1" customHeight="1" x14ac:dyDescent="0.2">
      <c r="A12" s="39"/>
      <c r="B12" s="38"/>
      <c r="C12" s="38"/>
      <c r="D12" s="38"/>
      <c r="E12" s="38"/>
      <c r="F12" s="38"/>
      <c r="G12" s="38"/>
      <c r="H12" s="38"/>
      <c r="I12" s="38"/>
      <c r="J12" s="38"/>
      <c r="K12" s="38"/>
      <c r="L12" s="38"/>
      <c r="M12" s="38"/>
      <c r="N12" s="38"/>
      <c r="O12" s="38"/>
      <c r="P12" s="38"/>
    </row>
    <row r="13" spans="1:16" ht="18" customHeight="1" x14ac:dyDescent="0.2">
      <c r="A13" s="39">
        <v>5</v>
      </c>
      <c r="B13" s="37"/>
      <c r="C13" s="37"/>
      <c r="D13" s="25"/>
      <c r="E13" s="37"/>
      <c r="F13" s="37"/>
      <c r="G13" s="25"/>
      <c r="H13" s="37"/>
      <c r="I13" s="37"/>
      <c r="J13" s="25"/>
      <c r="K13" s="37"/>
      <c r="L13" s="37"/>
      <c r="M13" s="25"/>
      <c r="N13" s="37"/>
      <c r="O13" s="37"/>
      <c r="P13" s="25"/>
    </row>
    <row r="14" spans="1:16" ht="62.1" customHeight="1" x14ac:dyDescent="0.2">
      <c r="A14" s="39"/>
      <c r="B14" s="38"/>
      <c r="C14" s="38"/>
      <c r="D14" s="38"/>
      <c r="E14" s="38"/>
      <c r="F14" s="38"/>
      <c r="G14" s="38"/>
      <c r="H14" s="38"/>
      <c r="I14" s="38"/>
      <c r="J14" s="38"/>
      <c r="K14" s="38"/>
      <c r="L14" s="38"/>
      <c r="M14" s="38"/>
      <c r="N14" s="38"/>
      <c r="O14" s="38"/>
      <c r="P14" s="38"/>
    </row>
    <row r="15" spans="1:16" ht="18" customHeight="1" x14ac:dyDescent="0.2">
      <c r="A15" s="39">
        <v>6</v>
      </c>
      <c r="B15" s="37"/>
      <c r="C15" s="37"/>
      <c r="D15" s="25"/>
      <c r="E15" s="37"/>
      <c r="F15" s="37"/>
      <c r="G15" s="25"/>
      <c r="H15" s="37"/>
      <c r="I15" s="37"/>
      <c r="J15" s="25"/>
      <c r="K15" s="37"/>
      <c r="L15" s="37"/>
      <c r="M15" s="25"/>
      <c r="N15" s="37"/>
      <c r="O15" s="37"/>
      <c r="P15" s="25"/>
    </row>
    <row r="16" spans="1:16" ht="62.1" customHeight="1" x14ac:dyDescent="0.2">
      <c r="A16" s="39"/>
      <c r="B16" s="38"/>
      <c r="C16" s="38"/>
      <c r="D16" s="38"/>
      <c r="E16" s="38"/>
      <c r="F16" s="38"/>
      <c r="G16" s="38"/>
      <c r="H16" s="38"/>
      <c r="I16" s="38"/>
      <c r="J16" s="38"/>
      <c r="K16" s="38"/>
      <c r="L16" s="38"/>
      <c r="M16" s="38"/>
      <c r="N16" s="38"/>
      <c r="O16" s="38"/>
      <c r="P16" s="38"/>
    </row>
    <row r="17" spans="1:16" ht="18" customHeight="1" x14ac:dyDescent="0.2">
      <c r="A17" s="39">
        <v>7</v>
      </c>
      <c r="B17" s="37"/>
      <c r="C17" s="37"/>
      <c r="D17" s="25"/>
      <c r="E17" s="37"/>
      <c r="F17" s="37"/>
      <c r="G17" s="25"/>
      <c r="H17" s="37"/>
      <c r="I17" s="37"/>
      <c r="J17" s="25"/>
      <c r="K17" s="37"/>
      <c r="L17" s="37"/>
      <c r="M17" s="25"/>
      <c r="N17" s="37"/>
      <c r="O17" s="37"/>
      <c r="P17" s="25"/>
    </row>
    <row r="18" spans="1:16" ht="62.1" customHeight="1" x14ac:dyDescent="0.2">
      <c r="A18" s="39"/>
      <c r="B18" s="38"/>
      <c r="C18" s="38"/>
      <c r="D18" s="38"/>
      <c r="E18" s="38"/>
      <c r="F18" s="38"/>
      <c r="G18" s="38"/>
      <c r="H18" s="38"/>
      <c r="I18" s="38"/>
      <c r="J18" s="38"/>
      <c r="K18" s="38"/>
      <c r="L18" s="38"/>
      <c r="M18" s="38"/>
      <c r="N18" s="38"/>
      <c r="O18" s="38"/>
      <c r="P18" s="38"/>
    </row>
    <row r="19" spans="1:16" ht="54.9" customHeight="1" x14ac:dyDescent="0.2">
      <c r="A19" s="10" t="s">
        <v>47</v>
      </c>
      <c r="B19" s="34"/>
      <c r="C19" s="34"/>
      <c r="D19" s="34"/>
      <c r="E19" s="34"/>
      <c r="F19" s="34"/>
      <c r="G19" s="34"/>
      <c r="H19" s="34"/>
      <c r="I19" s="34"/>
      <c r="J19" s="34"/>
      <c r="K19" s="34"/>
      <c r="L19" s="34"/>
      <c r="M19" s="34"/>
      <c r="N19" s="34"/>
      <c r="O19" s="34"/>
      <c r="P19" s="34"/>
    </row>
    <row r="20" spans="1:16" hidden="1" x14ac:dyDescent="0.2">
      <c r="A20" s="11"/>
      <c r="B20" s="11"/>
      <c r="C20" s="11"/>
      <c r="D20" s="11"/>
      <c r="E20" s="11"/>
      <c r="F20" s="11"/>
      <c r="G20" s="11"/>
      <c r="H20" s="11"/>
      <c r="I20" s="11"/>
      <c r="J20" s="11"/>
      <c r="K20" s="11"/>
      <c r="L20" s="11"/>
      <c r="M20" s="11"/>
      <c r="N20" s="11"/>
      <c r="O20" s="11"/>
      <c r="P20" s="11"/>
    </row>
    <row r="21" spans="1:16" ht="13.5" customHeight="1" x14ac:dyDescent="0.2">
      <c r="A21" s="12" t="s">
        <v>48</v>
      </c>
      <c r="B21" s="12">
        <f>IF(基本設定!B6="","",基本設定!B6)</f>
      </c>
      <c r="C21" s="12">
        <f>IF(基本設定!B7="","",基本設定!B7)</f>
      </c>
      <c r="D21" s="12">
        <f>IF(基本設定!B8="","",基本設定!B8)</f>
      </c>
      <c r="E21" s="12">
        <f>IF(基本設定!B9="","",基本設定!B9)</f>
      </c>
      <c r="F21" s="12">
        <f>IF(基本設定!B10="","",基本設定!B10)</f>
      </c>
      <c r="G21" s="12">
        <f>IF(基本設定!B11="","",基本設定!B11)</f>
      </c>
      <c r="H21" s="12"/>
      <c r="I21" s="12"/>
      <c r="J21" s="12"/>
      <c r="K21" s="12"/>
      <c r="L21" s="12"/>
      <c r="M21" s="13" t="s">
        <v>53</v>
      </c>
      <c r="N21" s="12" t="s">
        <v>20</v>
      </c>
      <c r="O21" s="12" t="s">
        <v>22</v>
      </c>
      <c r="P21" s="14" t="s">
        <v>49</v>
      </c>
    </row>
    <row r="22" spans="1:16" ht="13.5" customHeight="1" x14ac:dyDescent="0.2">
      <c r="A22" s="15" t="s">
        <v>50</v>
      </c>
      <c r="B22" s="16">
        <f>IF(B21="","",IFERROR(VALUE(VLOOKUP(B21,基本設定!$A$23:$B$35,2,FALSE())),""))</f>
      </c>
      <c r="C22" s="16">
        <f>IF(C21="","",IFERROR(VALUE(VLOOKUP(C21,基本設定!$A$23:$B$35,2,FALSE())),""))</f>
      </c>
      <c r="D22" s="16">
        <f>IF(D21="","",IFERROR(VALUE(VLOOKUP(D21,基本設定!$A$23:$B$35,2,FALSE())),""))</f>
      </c>
      <c r="E22" s="16">
        <f>IF(E21="","",IFERROR(VALUE(VLOOKUP(E21,基本設定!$A$23:$B$35,2,FALSE())),""))</f>
      </c>
      <c r="F22" s="16">
        <f>IF(F21="","",IFERROR(VALUE(VLOOKUP(F21,基本設定!$A$23:$B$35,2,FALSE())),""))</f>
      </c>
      <c r="G22" s="16">
        <f>IF(G21="","",IFERROR(VALUE(VLOOKUP(G21,基本設定!$A$23:$B$35,2,FALSE())),""))</f>
      </c>
      <c r="H22" s="17"/>
      <c r="I22" s="17"/>
      <c r="J22" s="17"/>
      <c r="K22" s="17"/>
      <c r="L22" s="17"/>
      <c r="M22" s="17">
        <v>1</v>
      </c>
      <c r="N22" s="17">
        <f>IF(N21="","",IFERROR(VALUE(VLOOKUP(N21,基本設定!$A$23:$B$35,2,FALSE())),""))</f>
      </c>
      <c r="O22" s="17">
        <f>IF(O21="","",IFERROR(VALUE(VLOOKUP(O21,基本設定!$A$23:$B$35,2,FALSE())),""))</f>
      </c>
      <c r="P22" s="18">
        <f>IF(SUM(B22:O22)=0,"",SUM(B22:O22))</f>
      </c>
    </row>
    <row r="23" spans="1:16" ht="13.5" customHeight="1" x14ac:dyDescent="0.2">
      <c r="A23" s="35" t="s">
        <v>51</v>
      </c>
      <c r="B23" s="19">
        <f>IF(B21="","",IF(B24="","",B24-(SUMPRODUCT((B5:C5=B21)*(D5="×"))+SUMPRODUCT((E5:F5=B21)*(G5="×"))+SUMPRODUCT((H5:I5=B21)*(J5="×"))+SUMPRODUCT((K5:L5=B21)*(M5="×"))+SUMPRODUCT((N5:O5=B21)*(P5="×"))+SUMPRODUCT((B7:C7=B21)*(D7="×"))+SUMPRODUCT((E7:F7=B21)*(G7="×"))+SUMPRODUCT((H7:I7=B21)*(J7="×"))+SUMPRODUCT((K7:L7=B21)*(M7="×"))+SUMPRODUCT((N7:O7=B21)*(P7="×"))+SUMPRODUCT((B9:C9=B21)*(D9="×"))+SUMPRODUCT((E9:F9=B21)*(G9="×"))+SUMPRODUCT((H9:I9=B21)*(J9="×"))+SUMPRODUCT((K9:L9=B21)*(M9="×"))+SUMPRODUCT((N9:O9=B21)*(P9="×"))+SUMPRODUCT((B11:C11=B21)*(D11="×"))+SUMPRODUCT((E11:F11=B21)*(G11="×"))+SUMPRODUCT((H11:I11=B21)*(J11="×"))+SUMPRODUCT((K11:L11=B21)*(M11="×"))+SUMPRODUCT((N11:O11=B21)*(P11="×"))+SUMPRODUCT((B13:C13=B21)*(D13="×"))+SUMPRODUCT((E13:F13=B21)*(G13="×"))+SUMPRODUCT((H13:I13=B21)*(J13="×"))+SUMPRODUCT((K13:L13=B21)*(M13="×"))+SUMPRODUCT((N13:O13=B21)*(P13="×"))+SUMPRODUCT((B15:C15=B21)*(D15="×"))+SUMPRODUCT((E15:F15=B21)*(G15="×"))+SUMPRODUCT((H15:I15=B21)*(J15="×"))+SUMPRODUCT((K15:L15=B21)*(M15="×"))+SUMPRODUCT((N15:O15=B21)*(P15="×"))+SUMPRODUCT((B17:C17=B21)*(D17="×"))+SUMPRODUCT((E17:F17=B21)*(G17="×"))+SUMPRODUCT((H17:I17=B21)*(J17="×"))+SUMPRODUCT((K17:L17=B21)*(M17="×"))+SUMPRODUCT((N17:O17=B21)*(P17="×")))))</f>
        <v/>
      </c>
      <c r="C23" s="19">
        <f>IF(C21="","",IF(C24="","",C24-(SUMPRODUCT((B5:C5=C21)*(D5="×"))+SUMPRODUCT((E5:F5=C21)*(G5="×"))+SUMPRODUCT((H5:I5=C21)*(J5="×"))+SUMPRODUCT((K5:L5=C21)*(M5="×"))+SUMPRODUCT((N5:O5=C21)*(P5="×"))+SUMPRODUCT((B7:C7=C21)*(D7="×"))+SUMPRODUCT((E7:F7=C21)*(G7="×"))+SUMPRODUCT((H7:I7=C21)*(J7="×"))+SUMPRODUCT((K7:L7=C21)*(M7="×"))+SUMPRODUCT((N7:O7=C21)*(P7="×"))+SUMPRODUCT((B9:C9=C21)*(D9="×"))+SUMPRODUCT((E9:F9=C21)*(G9="×"))+SUMPRODUCT((H9:I9=C21)*(J9="×"))+SUMPRODUCT((K9:L9=C21)*(M9="×"))+SUMPRODUCT((N9:O9=C21)*(P9="×"))+SUMPRODUCT((B11:C11=C21)*(D11="×"))+SUMPRODUCT((E11:F11=C21)*(G11="×"))+SUMPRODUCT((H11:I11=C21)*(J11="×"))+SUMPRODUCT((K11:L11=C21)*(M11="×"))+SUMPRODUCT((N11:O11=C21)*(P11="×"))+SUMPRODUCT((B13:C13=C21)*(D13="×"))+SUMPRODUCT((E13:F13=C21)*(G13="×"))+SUMPRODUCT((H13:I13=C21)*(J13="×"))+SUMPRODUCT((K13:L13=C21)*(M13="×"))+SUMPRODUCT((N13:O13=C21)*(P13="×"))+SUMPRODUCT((B15:C15=C21)*(D15="×"))+SUMPRODUCT((E15:F15=C21)*(G15="×"))+SUMPRODUCT((H15:I15=C21)*(J15="×"))+SUMPRODUCT((K15:L15=C21)*(M15="×"))+SUMPRODUCT((N15:O15=C21)*(P15="×"))+SUMPRODUCT((B17:C17=C21)*(D17="×"))+SUMPRODUCT((E17:F17=C21)*(G17="×"))+SUMPRODUCT((H17:I17=C21)*(J17="×"))+SUMPRODUCT((K17:L17=C21)*(M17="×"))+SUMPRODUCT((N17:O17=C21)*(P17="×")))))</f>
        <v/>
      </c>
      <c r="D23" s="19">
        <f>IF(D21="","",IF(D24="","",D24-(SUMPRODUCT((B5:C5=D21)*(D5="×"))+SUMPRODUCT((E5:F5=D21)*(G5="×"))+SUMPRODUCT((H5:I5=D21)*(J5="×"))+SUMPRODUCT((K5:L5=D21)*(M5="×"))+SUMPRODUCT((N5:O5=D21)*(P5="×"))+SUMPRODUCT((B7:C7=D21)*(D7="×"))+SUMPRODUCT((E7:F7=D21)*(G7="×"))+SUMPRODUCT((H7:I7=D21)*(J7="×"))+SUMPRODUCT((K7:L7=D21)*(M7="×"))+SUMPRODUCT((N7:O7=D21)*(P7="×"))+SUMPRODUCT((B9:C9=D21)*(D9="×"))+SUMPRODUCT((E9:F9=D21)*(G9="×"))+SUMPRODUCT((H9:I9=D21)*(J9="×"))+SUMPRODUCT((K9:L9=D21)*(M9="×"))+SUMPRODUCT((N9:O9=D21)*(P9="×"))+SUMPRODUCT((B11:C11=D21)*(D11="×"))+SUMPRODUCT((E11:F11=D21)*(G11="×"))+SUMPRODUCT((H11:I11=D21)*(J11="×"))+SUMPRODUCT((K11:L11=D21)*(M11="×"))+SUMPRODUCT((N11:O11=D21)*(P11="×"))+SUMPRODUCT((B13:C13=D21)*(D13="×"))+SUMPRODUCT((E13:F13=D21)*(G13="×"))+SUMPRODUCT((H13:I13=D21)*(J13="×"))+SUMPRODUCT((K13:L13=D21)*(M13="×"))+SUMPRODUCT((N13:O13=D21)*(P13="×"))+SUMPRODUCT((B15:C15=D21)*(D15="×"))+SUMPRODUCT((E15:F15=D21)*(G15="×"))+SUMPRODUCT((H15:I15=D21)*(J15="×"))+SUMPRODUCT((K15:L15=D21)*(M15="×"))+SUMPRODUCT((N15:O15=D21)*(P15="×"))+SUMPRODUCT((B17:C17=D21)*(D17="×"))+SUMPRODUCT((E17:F17=D21)*(G17="×"))+SUMPRODUCT((H17:I17=D21)*(J17="×"))+SUMPRODUCT((K17:L17=D21)*(M17="×"))+SUMPRODUCT((N17:O17=D21)*(P17="×")))))</f>
        <v/>
      </c>
      <c r="E23" s="19">
        <f>IF(E21="","",IF(E24="","",E24-(SUMPRODUCT((B5:C5=E21)*(D5="×"))+SUMPRODUCT((E5:F5=E21)*(G5="×"))+SUMPRODUCT((H5:I5=E21)*(J5="×"))+SUMPRODUCT((K5:L5=E21)*(M5="×"))+SUMPRODUCT((N5:O5=E21)*(P5="×"))+SUMPRODUCT((B7:C7=E21)*(D7="×"))+SUMPRODUCT((E7:F7=E21)*(G7="×"))+SUMPRODUCT((H7:I7=E21)*(J7="×"))+SUMPRODUCT((K7:L7=E21)*(M7="×"))+SUMPRODUCT((N7:O7=E21)*(P7="×"))+SUMPRODUCT((B9:C9=E21)*(D9="×"))+SUMPRODUCT((E9:F9=E21)*(G9="×"))+SUMPRODUCT((H9:I9=E21)*(J9="×"))+SUMPRODUCT((K9:L9=E21)*(M9="×"))+SUMPRODUCT((N9:O9=E21)*(P9="×"))+SUMPRODUCT((B11:C11=E21)*(D11="×"))+SUMPRODUCT((E11:F11=E21)*(G11="×"))+SUMPRODUCT((H11:I11=E21)*(J11="×"))+SUMPRODUCT((K11:L11=E21)*(M11="×"))+SUMPRODUCT((N11:O11=E21)*(P11="×"))+SUMPRODUCT((B13:C13=E21)*(D13="×"))+SUMPRODUCT((E13:F13=E21)*(G13="×"))+SUMPRODUCT((H13:I13=E21)*(J13="×"))+SUMPRODUCT((K13:L13=E21)*(M13="×"))+SUMPRODUCT((N13:O13=E21)*(P13="×"))+SUMPRODUCT((B15:C15=E21)*(D15="×"))+SUMPRODUCT((E15:F15=E21)*(G15="×"))+SUMPRODUCT((H15:I15=E21)*(J15="×"))+SUMPRODUCT((K15:L15=E21)*(M15="×"))+SUMPRODUCT((N15:O15=E21)*(P15="×"))+SUMPRODUCT((B17:C17=E21)*(D17="×"))+SUMPRODUCT((E17:F17=E21)*(G17="×"))+SUMPRODUCT((H17:I17=E21)*(J17="×"))+SUMPRODUCT((K17:L17=E21)*(M17="×"))+SUMPRODUCT((N17:O17=E21)*(P17="×")))))</f>
        <v/>
      </c>
      <c r="F23" s="19">
        <f>IF(F21="","",IF(F24="","",F24-(SUMPRODUCT((B5:C5=F21)*(D5="×"))+SUMPRODUCT((E5:F5=F21)*(G5="×"))+SUMPRODUCT((H5:I5=F21)*(J5="×"))+SUMPRODUCT((K5:L5=F21)*(M5="×"))+SUMPRODUCT((N5:O5=F21)*(P5="×"))+SUMPRODUCT((B7:C7=F21)*(D7="×"))+SUMPRODUCT((E7:F7=F21)*(G7="×"))+SUMPRODUCT((H7:I7=F21)*(J7="×"))+SUMPRODUCT((K7:L7=F21)*(M7="×"))+SUMPRODUCT((N7:O7=F21)*(P7="×"))+SUMPRODUCT((B9:C9=F21)*(D9="×"))+SUMPRODUCT((E9:F9=F21)*(G9="×"))+SUMPRODUCT((H9:I9=F21)*(J9="×"))+SUMPRODUCT((K9:L9=F21)*(M9="×"))+SUMPRODUCT((N9:O9=F21)*(P9="×"))+SUMPRODUCT((B11:C11=F21)*(D11="×"))+SUMPRODUCT((E11:F11=F21)*(G11="×"))+SUMPRODUCT((H11:I11=F21)*(J11="×"))+SUMPRODUCT((K11:L11=F21)*(M11="×"))+SUMPRODUCT((N11:O11=F21)*(P11="×"))+SUMPRODUCT((B13:C13=F21)*(D13="×"))+SUMPRODUCT((E13:F13=F21)*(G13="×"))+SUMPRODUCT((H13:I13=F21)*(J13="×"))+SUMPRODUCT((K13:L13=F21)*(M13="×"))+SUMPRODUCT((N13:O13=F21)*(P13="×"))+SUMPRODUCT((B15:C15=F21)*(D15="×"))+SUMPRODUCT((E15:F15=F21)*(G15="×"))+SUMPRODUCT((H15:I15=F21)*(J15="×"))+SUMPRODUCT((K15:L15=F21)*(M15="×"))+SUMPRODUCT((N15:O15=F21)*(P15="×"))+SUMPRODUCT((B17:C17=F21)*(D17="×"))+SUMPRODUCT((E17:F17=F21)*(G17="×"))+SUMPRODUCT((H17:I17=F21)*(J17="×"))+SUMPRODUCT((K17:L17=F21)*(M17="×"))+SUMPRODUCT((N17:O17=F21)*(P17="×")))))</f>
        <v/>
      </c>
      <c r="G23" s="19">
        <f>IF(G21="","",IF(G24="","",G24-(SUMPRODUCT((B5:C5=G21)*(D5="×"))+SUMPRODUCT((E5:F5=G21)*(G5="×"))+SUMPRODUCT((H5:I5=G21)*(J5="×"))+SUMPRODUCT((K5:L5=G21)*(M5="×"))+SUMPRODUCT((N5:O5=G21)*(P5="×"))+SUMPRODUCT((B7:C7=G21)*(D7="×"))+SUMPRODUCT((E7:F7=G21)*(G7="×"))+SUMPRODUCT((H7:I7=G21)*(J7="×"))+SUMPRODUCT((K7:L7=G21)*(M7="×"))+SUMPRODUCT((N7:O7=G21)*(P7="×"))+SUMPRODUCT((B9:C9=G21)*(D9="×"))+SUMPRODUCT((E9:F9=G21)*(G9="×"))+SUMPRODUCT((H9:I9=G21)*(J9="×"))+SUMPRODUCT((K9:L9=G21)*(M9="×"))+SUMPRODUCT((N9:O9=G21)*(P9="×"))+SUMPRODUCT((B11:C11=G21)*(D11="×"))+SUMPRODUCT((E11:F11=G21)*(G11="×"))+SUMPRODUCT((H11:I11=G21)*(J11="×"))+SUMPRODUCT((K11:L11=G21)*(M11="×"))+SUMPRODUCT((N11:O11=G21)*(P11="×"))+SUMPRODUCT((B13:C13=G21)*(D13="×"))+SUMPRODUCT((E13:F13=G21)*(G13="×"))+SUMPRODUCT((H13:I13=G21)*(J13="×"))+SUMPRODUCT((K13:L13=G21)*(M13="×"))+SUMPRODUCT((N13:O13=G21)*(P13="×"))+SUMPRODUCT((B15:C15=G21)*(D15="×"))+SUMPRODUCT((E15:F15=G21)*(G15="×"))+SUMPRODUCT((H15:I15=G21)*(J15="×"))+SUMPRODUCT((K15:L15=G21)*(M15="×"))+SUMPRODUCT((N15:O15=G21)*(P15="×"))+SUMPRODUCT((B17:C17=G21)*(D17="×"))+SUMPRODUCT((E17:F17=G21)*(G17="×"))+SUMPRODUCT((H17:I17=G21)*(J17="×"))+SUMPRODUCT((K17:L17=G21)*(M17="×"))+SUMPRODUCT((N17:O17=G21)*(P17="×")))))</f>
        <v/>
      </c>
      <c r="H23" s="19"/>
      <c r="I23" s="19"/>
      <c r="J23" s="19"/>
      <c r="K23" s="19"/>
      <c r="L23" s="19"/>
      <c r="M23" s="19">
        <f>IF(M24="","",M24-(SUMPRODUCT((B5:C5="特活")*(D5="×"))+SUMPRODUCT((B5:C5="学活")*(D5="×"))+SUMPRODUCT((E5:F5="特活")*(G5="×"))+SUMPRODUCT((E5:F5="学活")*(G5="×"))+SUMPRODUCT((H5:I5="特活")*(J5="×"))+SUMPRODUCT((H5:I5="学活")*(J5="×"))+SUMPRODUCT((K5:L5="特活")*(M5="×"))+SUMPRODUCT((K5:L5="学活")*(M5="×"))+SUMPRODUCT((N5:O5="特活")*(P5="×"))+SUMPRODUCT((N5:O5="学活")*(P5="×"))+SUMPRODUCT((B7:C7="特活")*(D7="×"))+SUMPRODUCT((B7:C7="学活")*(D7="×"))+SUMPRODUCT((E7:F7="特活")*(G7="×"))+SUMPRODUCT((E7:F7="学活")*(G7="×"))+SUMPRODUCT((H7:I7="特活")*(J7="×"))+SUMPRODUCT((H7:I7="学活")*(J7="×"))+SUMPRODUCT((K7:L7="特活")*(M7="×"))+SUMPRODUCT((K7:L7="学活")*(M7="×"))+SUMPRODUCT((N7:O7="特活")*(P7="×"))+SUMPRODUCT((N7:O7="学活")*(P7="×"))+SUMPRODUCT((B9:C9="特活")*(D9="×"))+SUMPRODUCT((B9:C9="学活")*(D9="×"))+SUMPRODUCT((E9:F9="特活")*(G9="×"))+SUMPRODUCT((E9:F9="学活")*(G9="×"))+SUMPRODUCT((H9:I9="特活")*(J9="×"))+SUMPRODUCT((H9:I9="学活")*(J9="×"))+SUMPRODUCT((K9:L9="特活")*(M9="×"))+SUMPRODUCT((K9:L9="学活")*(M9="×"))+SUMPRODUCT((N9:O9="特活")*(P9="×"))+SUMPRODUCT((N9:O9="学活")*(P9="×"))+SUMPRODUCT((B11:C11="特活")*(D11="×"))+SUMPRODUCT((B11:C11="学活")*(D11="×"))+SUMPRODUCT((E11:F11="特活")*(G11="×"))+SUMPRODUCT((E11:F11="学活")*(G11="×"))+SUMPRODUCT((H11:I11="特活")*(J11="×"))+SUMPRODUCT((H11:I11="学活")*(J11="×"))+SUMPRODUCT((K11:L11="特活")*(M11="×"))+SUMPRODUCT((K11:L11="学活")*(M11="×"))+SUMPRODUCT((N11:O11="特活")*(P11="×"))+SUMPRODUCT((N11:O11="学活")*(P11="×"))+SUMPRODUCT((B13:C13="特活")*(D13="×"))+SUMPRODUCT((B13:C13="学活")*(D13="×"))+SUMPRODUCT((E13:F13="特活")*(G13="×"))+SUMPRODUCT((E13:F13="学活")*(G13="×"))+SUMPRODUCT((H13:I13="特活")*(J13="×"))+SUMPRODUCT((H13:I13="学活")*(J13="×"))+SUMPRODUCT((K13:L13="特活")*(M13="×"))+SUMPRODUCT((K13:L13="学活")*(M13="×"))+SUMPRODUCT((N13:O13="特活")*(P13="×"))+SUMPRODUCT((N13:O13="学活")*(P13="×"))+SUMPRODUCT((B15:C15="特活")*(D15="×"))+SUMPRODUCT((B15:C15="学活")*(D15="×"))+SUMPRODUCT((E15:F15="特活")*(G15="×"))+SUMPRODUCT((E15:F15="学活")*(G15="×"))+SUMPRODUCT((H15:I15="特活")*(J15="×"))+SUMPRODUCT((H15:I15="学活")*(J15="×"))+SUMPRODUCT((K15:L15="特活")*(M15="×"))+SUMPRODUCT((K15:L15="学活")*(M15="×"))+SUMPRODUCT((N15:O15="特活")*(P15="×"))+SUMPRODUCT((N15:O15="学活")*(P15="×"))+SUMPRODUCT((B17:C17="特活")*(D17="×"))+SUMPRODUCT((B17:C17="学活")*(D17="×"))+SUMPRODUCT((E17:F17="特活")*(G17="×"))+SUMPRODUCT((E17:F17="学活")*(G17="×"))+SUMPRODUCT((H17:I17="特活")*(J17="×"))+SUMPRODUCT((H17:I17="学活")*(J17="×"))+SUMPRODUCT((K17:L17="特活")*(M17="×"))+SUMPRODUCT((K17:L17="学活")*(M17="×"))+SUMPRODUCT((N17:O17="特活")*(P17="×"))+SUMPRODUCT((N17:O17="学活")*(P17="×"))))</f>
        <v/>
      </c>
      <c r="N23" s="19">
        <f>IF(N24="","",N24-(SUMPRODUCT((B5:C5=N21)*(D5="×"))+SUMPRODUCT((E5:F5=N21)*(G5="×"))+SUMPRODUCT((H5:I5=N21)*(J5="×"))+SUMPRODUCT((K5:L5=N21)*(M5="×"))+SUMPRODUCT((N5:O5=N21)*(P5="×"))+SUMPRODUCT((B7:C7=N21)*(D7="×"))+SUMPRODUCT((E7:F7=N21)*(G7="×"))+SUMPRODUCT((H7:I7=N21)*(J7="×"))+SUMPRODUCT((K7:L7=N21)*(M7="×"))+SUMPRODUCT((N7:O7=N21)*(P7="×"))+SUMPRODUCT((B9:C9=N21)*(D9="×"))+SUMPRODUCT((E9:F9=N21)*(G9="×"))+SUMPRODUCT((H9:I9=N21)*(J9="×"))+SUMPRODUCT((K9:L9=N21)*(M9="×"))+SUMPRODUCT((N9:O9=N21)*(P9="×"))+SUMPRODUCT((B11:C11=N21)*(D11="×"))+SUMPRODUCT((E11:F11=N21)*(G11="×"))+SUMPRODUCT((H11:I11=N21)*(J11="×"))+SUMPRODUCT((K11:L11=N21)*(M11="×"))+SUMPRODUCT((N11:O11=N21)*(P11="×"))+SUMPRODUCT((B13:C13=N21)*(D13="×"))+SUMPRODUCT((E13:F13=N21)*(G13="×"))+SUMPRODUCT((H13:I13=N21)*(J13="×"))+SUMPRODUCT((K13:L13=N21)*(M13="×"))+SUMPRODUCT((N13:O13=N21)*(P13="×"))+SUMPRODUCT((B15:C15=N21)*(D15="×"))+SUMPRODUCT((E15:F15=N21)*(G15="×"))+SUMPRODUCT((H15:I15=N21)*(J15="×"))+SUMPRODUCT((K15:L15=N21)*(M15="×"))+SUMPRODUCT((N15:O15=N21)*(P15="×"))+SUMPRODUCT((B17:C17=N21)*(D17="×"))+SUMPRODUCT((E17:F17=N21)*(G17="×"))+SUMPRODUCT((H17:I17=N21)*(J17="×"))+SUMPRODUCT((K17:L17=N21)*(M17="×"))+SUMPRODUCT((N17:O17=N21)*(P17="×"))))</f>
        <v/>
      </c>
      <c r="O23" s="19">
        <f>IF(O24="","",O24-(SUMPRODUCT((B5:C5=O21)*(D5="×"))+SUMPRODUCT((E5:F5=O21)*(G5="×"))+SUMPRODUCT((H5:I5=O21)*(J5="×"))+SUMPRODUCT((K5:L5=O21)*(M5="×"))+SUMPRODUCT((N5:O5=O21)*(P5="×"))+SUMPRODUCT((B7:C7=O21)*(D7="×"))+SUMPRODUCT((E7:F7=O21)*(G7="×"))+SUMPRODUCT((H7:I7=O21)*(J7="×"))+SUMPRODUCT((K7:L7=O21)*(M7="×"))+SUMPRODUCT((N7:O7=O21)*(P7="×"))+SUMPRODUCT((B9:C9=O21)*(D9="×"))+SUMPRODUCT((E9:F9=O21)*(G9="×"))+SUMPRODUCT((H9:I9=O21)*(J9="×"))+SUMPRODUCT((K9:L9=O21)*(M9="×"))+SUMPRODUCT((N9:O9=O21)*(P9="×"))+SUMPRODUCT((B11:C11=O21)*(D11="×"))+SUMPRODUCT((E11:F11=O21)*(G11="×"))+SUMPRODUCT((H11:I11=O21)*(J11="×"))+SUMPRODUCT((K11:L11=O21)*(M11="×"))+SUMPRODUCT((N11:O11=O21)*(P11="×"))+SUMPRODUCT((B13:C13=O21)*(D13="×"))+SUMPRODUCT((E13:F13=O21)*(G13="×"))+SUMPRODUCT((H13:I13=O21)*(J13="×"))+SUMPRODUCT((K13:L13=O21)*(M13="×"))+SUMPRODUCT((N13:O13=O21)*(P13="×"))+SUMPRODUCT((B15:C15=O21)*(D15="×"))+SUMPRODUCT((E15:F15=O21)*(G15="×"))+SUMPRODUCT((H15:I15=O21)*(J15="×"))+SUMPRODUCT((K15:L15=O21)*(M15="×"))+SUMPRODUCT((N15:O15=O21)*(P15="×"))+SUMPRODUCT((B17:C17=O21)*(D17="×"))+SUMPRODUCT((E17:F17=O21)*(G17="×"))+SUMPRODUCT((H17:I17=O21)*(J17="×"))+SUMPRODUCT((K17:L17=O21)*(M17="×"))+SUMPRODUCT((N17:O17=O21)*(P17="×"))))</f>
        <v/>
      </c>
      <c r="P23" s="20">
        <f>IF(SUM(B23:O23)=0,"",SUM(B23:O23))</f>
        <v/>
      </c>
    </row>
    <row r="24" spans="1:16" ht="13.5" customHeight="1" x14ac:dyDescent="0.2">
      <c r="A24" s="36"/>
      <c r="B24" s="21">
        <f>IF(B21="","",IF(COUNTIF(B5:C5,B21)+COUNTIF(B5:C5,"*,"&amp;B21&amp;",*")+COUNTIF(E5:F5,B21)+COUNTIF(E5:F5,"*,"&amp;B21&amp;",*")+COUNTIF(H5:I5,B21)+COUNTIF(H5:I5,"*,"&amp;B21&amp;",*")+COUNTIF(K5:L5,B21)+COUNTIF(K5:L5,"*,"&amp;B21&amp;",*")+COUNTIF(N5:O5,B21)+COUNTIF(N5:O5,"*,"&amp;B21&amp;",*")+COUNTIF(B7:C7,B21)+COUNTIF(B7:C7,"*,"&amp;B21&amp;",*")+COUNTIF(E7:F7,B21)+COUNTIF(E7:F7,"*,"&amp;B21&amp;",*")+COUNTIF(H7:I7,B21)+COUNTIF(H7:I7,"*,"&amp;B21&amp;",*")+COUNTIF(K7:L7,B21)+COUNTIF(K7:L7,"*,"&amp;B21&amp;",*")+COUNTIF(N7:O7,B21)+COUNTIF(N7:O7,"*,"&amp;B21&amp;",*")+COUNTIF(B9:C9,B21)+COUNTIF(B9:C9,"*,"&amp;B21&amp;",*")+COUNTIF(E9:F9,B21)+COUNTIF(E9:F9,"*,"&amp;B21&amp;",*")+COUNTIF(H9:I9,B21)+COUNTIF(H9:I9,"*,"&amp;B21&amp;",*")+COUNTIF(K9:L9,B21)+COUNTIF(K9:L9,"*,"&amp;B21&amp;",*")+COUNTIF(N9:O9,B21)+COUNTIF(N9:O9,"*,"&amp;B21&amp;",*")+COUNTIF(B11:C11,B21)+COUNTIF(B11:C11,"*,"&amp;B21&amp;",*")+COUNTIF(E11:F11,B21)+COUNTIF(E11:F11,"*,"&amp;B21&amp;",*")+COUNTIF(H11:I11,B21)+COUNTIF(H11:I11,"*,"&amp;B21&amp;",*")+COUNTIF(K11:L11,B21)+COUNTIF(K11:L11,"*,"&amp;B21&amp;",*")+COUNTIF(N11:O11,B21)+COUNTIF(N11:O11,"*,"&amp;B21&amp;",*")+COUNTIF(B13:C13,B21)+COUNTIF(B13:C13,"*,"&amp;B21&amp;",*")+COUNTIF(E13:F13,B21)+COUNTIF(E13:F13,"*,"&amp;B21&amp;",*")+COUNTIF(H13:I13,B21)+COUNTIF(H13:I13,"*,"&amp;B21&amp;",*")+COUNTIF(K13:L13,B21)+COUNTIF(K13:L13,"*,"&amp;B21&amp;",*")+COUNTIF(N13:O13,B21)+COUNTIF(N13:O13,"*,"&amp;B21&amp;",*")+COUNTIF(B15:C15,B21)+COUNTIF(B15:C15,"*,"&amp;B21&amp;",*")+COUNTIF(E15:F15,B21)+COUNTIF(E15:F15,"*,"&amp;B21&amp;",*")+COUNTIF(H15:I15,B21)+COUNTIF(H15:I15,"*,"&amp;B21&amp;",*")+COUNTIF(K15:L15,B21)+COUNTIF(K15:L15,"*,"&amp;B21&amp;",*")+COUNTIF(N15:O15,B21)+COUNTIF(N15:O15,"*,"&amp;B21&amp;",*")+COUNTIF(B17:C17,B21)+COUNTIF(B17:C17,"*,"&amp;B21&amp;",*")+COUNTIF(E17:F17,B21)+COUNTIF(E17:F17,"*,"&amp;B21&amp;",*")+COUNTIF(H17:I17,B21)+COUNTIF(H17:I17,"*,"&amp;B21&amp;",*")+COUNTIF(K17:L17,B21)+COUNTIF(K17:L17,"*,"&amp;B21&amp;",*")+COUNTIF(N17:O17,B21)+COUNTIF(N17:O17,"*,"&amp;B21&amp;",*")=0,"",COUNTIF(B5:C5,B21)+COUNTIF(B5:C5,"*,"&amp;B21&amp;",*")+COUNTIF(E5:F5,B21)+COUNTIF(E5:F5,"*,"&amp;B21&amp;",*")+COUNTIF(H5:I5,B21)+COUNTIF(H5:I5,"*,"&amp;B21&amp;",*")+COUNTIF(K5:L5,B21)+COUNTIF(K5:L5,"*,"&amp;B21&amp;",*")+COUNTIF(N5:O5,B21)+COUNTIF(N5:O5,"*,"&amp;B21&amp;",*")+COUNTIF(B7:C7,B21)+COUNTIF(B7:C7,"*,"&amp;B21&amp;",*")+COUNTIF(E7:F7,B21)+COUNTIF(E7:F7,"*,"&amp;B21&amp;",*")+COUNTIF(H7:I7,B21)+COUNTIF(H7:I7,"*,"&amp;B21&amp;",*")+COUNTIF(K7:L7,B21)+COUNTIF(K7:L7,"*,"&amp;B21&amp;",*")+COUNTIF(N7:O7,B21)+COUNTIF(N7:O7,"*,"&amp;B21&amp;",*")+COUNTIF(B9:C9,B21)+COUNTIF(B9:C9,"*,"&amp;B21&amp;",*")+COUNTIF(E9:F9,B21)+COUNTIF(E9:F9,"*,"&amp;B21&amp;",*")+COUNTIF(H9:I9,B21)+COUNTIF(H9:I9,"*,"&amp;B21&amp;",*")+COUNTIF(K9:L9,B21)+COUNTIF(K9:L9,"*,"&amp;B21&amp;",*")+COUNTIF(N9:O9,B21)+COUNTIF(N9:O9,"*,"&amp;B21&amp;",*")+COUNTIF(B11:C11,B21)+COUNTIF(B11:C11,"*,"&amp;B21&amp;",*")+COUNTIF(E11:F11,B21)+COUNTIF(E11:F11,"*,"&amp;B21&amp;",*")+COUNTIF(H11:I11,B21)+COUNTIF(H11:I11,"*,"&amp;B21&amp;",*")+COUNTIF(K11:L11,B21)+COUNTIF(K11:L11,"*,"&amp;B21&amp;",*")+COUNTIF(N11:O11,B21)+COUNTIF(N11:O11,"*,"&amp;B21&amp;",*")+COUNTIF(B13:C13,B21)+COUNTIF(B13:C13,"*,"&amp;B21&amp;",*")+COUNTIF(E13:F13,B21)+COUNTIF(E13:F13,"*,"&amp;B21&amp;",*")+COUNTIF(H13:I13,B21)+COUNTIF(H13:I13,"*,"&amp;B21&amp;",*")+COUNTIF(K13:L13,B21)+COUNTIF(K13:L13,"*,"&amp;B21&amp;",*")+COUNTIF(N13:O13,B21)+COUNTIF(N13:O13,"*,"&amp;B21&amp;",*")+COUNTIF(B15:C15,B21)+COUNTIF(B15:C15,"*,"&amp;B21&amp;",*")+COUNTIF(E15:F15,B21)+COUNTIF(E15:F15,"*,"&amp;B21&amp;",*")+COUNTIF(H15:I15,B21)+COUNTIF(H15:I15,"*,"&amp;B21&amp;",*")+COUNTIF(K15:L15,B21)+COUNTIF(K15:L15,"*,"&amp;B21&amp;",*")+COUNTIF(N15:O15,B21)+COUNTIF(N15:O15,"*,"&amp;B21&amp;",*")+COUNTIF(B17:C17,B21)+COUNTIF(B17:C17,"*,"&amp;B21&amp;",*")+COUNTIF(E17:F17,B21)+COUNTIF(E17:F17,"*,"&amp;B21&amp;",*")+COUNTIF(H17:I17,B21)+COUNTIF(H17:I17,"*,"&amp;B21&amp;",*")+COUNTIF(K17:L17,B21)+COUNTIF(K17:L17,"*,"&amp;B21&amp;",*")+COUNTIF(N17:O17,B21)+COUNTIF(N17:O17,"*,"&amp;B21&amp;",*")))</f>
        <v/>
      </c>
      <c r="C24" s="21">
        <f>IF(C21="","",IF(COUNTIF(B5:C5,C21)+COUNTIF(B5:C5,"*,"&amp;C21&amp;",*")+COUNTIF(E5:F5,C21)+COUNTIF(E5:F5,"*,"&amp;C21&amp;",*")+COUNTIF(H5:I5,C21)+COUNTIF(H5:I5,"*,"&amp;C21&amp;",*")+COUNTIF(K5:L5,C21)+COUNTIF(K5:L5,"*,"&amp;C21&amp;",*")+COUNTIF(N5:O5,C21)+COUNTIF(N5:O5,"*,"&amp;C21&amp;",*")+COUNTIF(B7:C7,C21)+COUNTIF(B7:C7,"*,"&amp;C21&amp;",*")+COUNTIF(E7:F7,C21)+COUNTIF(E7:F7,"*,"&amp;C21&amp;",*")+COUNTIF(H7:I7,C21)+COUNTIF(H7:I7,"*,"&amp;C21&amp;",*")+COUNTIF(K7:L7,C21)+COUNTIF(K7:L7,"*,"&amp;C21&amp;",*")+COUNTIF(N7:O7,C21)+COUNTIF(N7:O7,"*,"&amp;C21&amp;",*")+COUNTIF(B9:C9,C21)+COUNTIF(B9:C9,"*,"&amp;C21&amp;",*")+COUNTIF(E9:F9,C21)+COUNTIF(E9:F9,"*,"&amp;C21&amp;",*")+COUNTIF(H9:I9,C21)+COUNTIF(H9:I9,"*,"&amp;C21&amp;",*")+COUNTIF(K9:L9,C21)+COUNTIF(K9:L9,"*,"&amp;C21&amp;",*")+COUNTIF(N9:O9,C21)+COUNTIF(N9:O9,"*,"&amp;C21&amp;",*")+COUNTIF(B11:C11,C21)+COUNTIF(B11:C11,"*,"&amp;C21&amp;",*")+COUNTIF(E11:F11,C21)+COUNTIF(E11:F11,"*,"&amp;C21&amp;",*")+COUNTIF(H11:I11,C21)+COUNTIF(H11:I11,"*,"&amp;C21&amp;",*")+COUNTIF(K11:L11,C21)+COUNTIF(K11:L11,"*,"&amp;C21&amp;",*")+COUNTIF(N11:O11,C21)+COUNTIF(N11:O11,"*,"&amp;C21&amp;",*")+COUNTIF(B13:C13,C21)+COUNTIF(B13:C13,"*,"&amp;C21&amp;",*")+COUNTIF(E13:F13,C21)+COUNTIF(E13:F13,"*,"&amp;C21&amp;",*")+COUNTIF(H13:I13,C21)+COUNTIF(H13:I13,"*,"&amp;C21&amp;",*")+COUNTIF(K13:L13,C21)+COUNTIF(K13:L13,"*,"&amp;C21&amp;",*")+COUNTIF(N13:O13,C21)+COUNTIF(N13:O13,"*,"&amp;C21&amp;",*")+COUNTIF(B15:C15,C21)+COUNTIF(B15:C15,"*,"&amp;C21&amp;",*")+COUNTIF(E15:F15,C21)+COUNTIF(E15:F15,"*,"&amp;C21&amp;",*")+COUNTIF(H15:I15,C21)+COUNTIF(H15:I15,"*,"&amp;C21&amp;",*")+COUNTIF(K15:L15,C21)+COUNTIF(K15:L15,"*,"&amp;C21&amp;",*")+COUNTIF(N15:O15,C21)+COUNTIF(N15:O15,"*,"&amp;C21&amp;",*")+COUNTIF(B17:C17,C21)+COUNTIF(B17:C17,"*,"&amp;C21&amp;",*")+COUNTIF(E17:F17,C21)+COUNTIF(E17:F17,"*,"&amp;C21&amp;",*")+COUNTIF(H17:I17,C21)+COUNTIF(H17:I17,"*,"&amp;C21&amp;",*")+COUNTIF(K17:L17,C21)+COUNTIF(K17:L17,"*,"&amp;C21&amp;",*")+COUNTIF(N17:O17,C21)+COUNTIF(N17:O17,"*,"&amp;C21&amp;",*")=0,"",COUNTIF(B5:C5,C21)+COUNTIF(B5:C5,"*,"&amp;C21&amp;",*")+COUNTIF(E5:F5,C21)+COUNTIF(E5:F5,"*,"&amp;C21&amp;",*")+COUNTIF(H5:I5,C21)+COUNTIF(H5:I5,"*,"&amp;C21&amp;",*")+COUNTIF(K5:L5,C21)+COUNTIF(K5:L5,"*,"&amp;C21&amp;",*")+COUNTIF(N5:O5,C21)+COUNTIF(N5:O5,"*,"&amp;C21&amp;",*")+COUNTIF(B7:C7,C21)+COUNTIF(B7:C7,"*,"&amp;C21&amp;",*")+COUNTIF(E7:F7,C21)+COUNTIF(E7:F7,"*,"&amp;C21&amp;",*")+COUNTIF(H7:I7,C21)+COUNTIF(H7:I7,"*,"&amp;C21&amp;",*")+COUNTIF(K7:L7,C21)+COUNTIF(K7:L7,"*,"&amp;C21&amp;",*")+COUNTIF(N7:O7,C21)+COUNTIF(N7:O7,"*,"&amp;C21&amp;",*")+COUNTIF(B9:C9,C21)+COUNTIF(B9:C9,"*,"&amp;C21&amp;",*")+COUNTIF(E9:F9,C21)+COUNTIF(E9:F9,"*,"&amp;C21&amp;",*")+COUNTIF(H9:I9,C21)+COUNTIF(H9:I9,"*,"&amp;C21&amp;",*")+COUNTIF(K9:L9,C21)+COUNTIF(K9:L9,"*,"&amp;C21&amp;",*")+COUNTIF(N9:O9,C21)+COUNTIF(N9:O9,"*,"&amp;C21&amp;",*")+COUNTIF(B11:C11,C21)+COUNTIF(B11:C11,"*,"&amp;C21&amp;",*")+COUNTIF(E11:F11,C21)+COUNTIF(E11:F11,"*,"&amp;C21&amp;",*")+COUNTIF(H11:I11,C21)+COUNTIF(H11:I11,"*,"&amp;C21&amp;",*")+COUNTIF(K11:L11,C21)+COUNTIF(K11:L11,"*,"&amp;C21&amp;",*")+COUNTIF(N11:O11,C21)+COUNTIF(N11:O11,"*,"&amp;C21&amp;",*")+COUNTIF(B13:C13,C21)+COUNTIF(B13:C13,"*,"&amp;C21&amp;",*")+COUNTIF(E13:F13,C21)+COUNTIF(E13:F13,"*,"&amp;C21&amp;",*")+COUNTIF(H13:I13,C21)+COUNTIF(H13:I13,"*,"&amp;C21&amp;",*")+COUNTIF(K13:L13,C21)+COUNTIF(K13:L13,"*,"&amp;C21&amp;",*")+COUNTIF(N13:O13,C21)+COUNTIF(N13:O13,"*,"&amp;C21&amp;",*")+COUNTIF(B15:C15,C21)+COUNTIF(B15:C15,"*,"&amp;C21&amp;",*")+COUNTIF(E15:F15,C21)+COUNTIF(E15:F15,"*,"&amp;C21&amp;",*")+COUNTIF(H15:I15,C21)+COUNTIF(H15:I15,"*,"&amp;C21&amp;",*")+COUNTIF(K15:L15,C21)+COUNTIF(K15:L15,"*,"&amp;C21&amp;",*")+COUNTIF(N15:O15,C21)+COUNTIF(N15:O15,"*,"&amp;C21&amp;",*")+COUNTIF(B17:C17,C21)+COUNTIF(B17:C17,"*,"&amp;C21&amp;",*")+COUNTIF(E17:F17,C21)+COUNTIF(E17:F17,"*,"&amp;C21&amp;",*")+COUNTIF(H17:I17,C21)+COUNTIF(H17:I17,"*,"&amp;C21&amp;",*")+COUNTIF(K17:L17,C21)+COUNTIF(K17:L17,"*,"&amp;C21&amp;",*")+COUNTIF(N17:O17,C21)+COUNTIF(N17:O17,"*,"&amp;C21&amp;",*")))</f>
        <v/>
      </c>
      <c r="D24" s="21">
        <f>IF(D21="","",IF(COUNTIF(B5:C5,D21)+COUNTIF(B5:C5,"*,"&amp;D21&amp;",*")+COUNTIF(E5:F5,D21)+COUNTIF(E5:F5,"*,"&amp;D21&amp;",*")+COUNTIF(H5:I5,D21)+COUNTIF(H5:I5,"*,"&amp;D21&amp;",*")+COUNTIF(K5:L5,D21)+COUNTIF(K5:L5,"*,"&amp;D21&amp;",*")+COUNTIF(N5:O5,D21)+COUNTIF(N5:O5,"*,"&amp;D21&amp;",*")+COUNTIF(B7:C7,D21)+COUNTIF(B7:C7,"*,"&amp;D21&amp;",*")+COUNTIF(E7:F7,D21)+COUNTIF(E7:F7,"*,"&amp;D21&amp;",*")+COUNTIF(H7:I7,D21)+COUNTIF(H7:I7,"*,"&amp;D21&amp;",*")+COUNTIF(K7:L7,D21)+COUNTIF(K7:L7,"*,"&amp;D21&amp;",*")+COUNTIF(N7:O7,D21)+COUNTIF(N7:O7,"*,"&amp;D21&amp;",*")+COUNTIF(B9:C9,D21)+COUNTIF(B9:C9,"*,"&amp;D21&amp;",*")+COUNTIF(E9:F9,D21)+COUNTIF(E9:F9,"*,"&amp;D21&amp;",*")+COUNTIF(H9:I9,D21)+COUNTIF(H9:I9,"*,"&amp;D21&amp;",*")+COUNTIF(K9:L9,D21)+COUNTIF(K9:L9,"*,"&amp;D21&amp;",*")+COUNTIF(N9:O9,D21)+COUNTIF(N9:O9,"*,"&amp;D21&amp;",*")+COUNTIF(B11:C11,D21)+COUNTIF(B11:C11,"*,"&amp;D21&amp;",*")+COUNTIF(E11:F11,D21)+COUNTIF(E11:F11,"*,"&amp;D21&amp;",*")+COUNTIF(H11:I11,D21)+COUNTIF(H11:I11,"*,"&amp;D21&amp;",*")+COUNTIF(K11:L11,D21)+COUNTIF(K11:L11,"*,"&amp;D21&amp;",*")+COUNTIF(N11:O11,D21)+COUNTIF(N11:O11,"*,"&amp;D21&amp;",*")+COUNTIF(B13:C13,D21)+COUNTIF(B13:C13,"*,"&amp;D21&amp;",*")+COUNTIF(E13:F13,D21)+COUNTIF(E13:F13,"*,"&amp;D21&amp;",*")+COUNTIF(H13:I13,D21)+COUNTIF(H13:I13,"*,"&amp;D21&amp;",*")+COUNTIF(K13:L13,D21)+COUNTIF(K13:L13,"*,"&amp;D21&amp;",*")+COUNTIF(N13:O13,D21)+COUNTIF(N13:O13,"*,"&amp;D21&amp;",*")+COUNTIF(B15:C15,D21)+COUNTIF(B15:C15,"*,"&amp;D21&amp;",*")+COUNTIF(E15:F15,D21)+COUNTIF(E15:F15,"*,"&amp;D21&amp;",*")+COUNTIF(H15:I15,D21)+COUNTIF(H15:I15,"*,"&amp;D21&amp;",*")+COUNTIF(K15:L15,D21)+COUNTIF(K15:L15,"*,"&amp;D21&amp;",*")+COUNTIF(N15:O15,D21)+COUNTIF(N15:O15,"*,"&amp;D21&amp;",*")+COUNTIF(B17:C17,D21)+COUNTIF(B17:C17,"*,"&amp;D21&amp;",*")+COUNTIF(E17:F17,D21)+COUNTIF(E17:F17,"*,"&amp;D21&amp;",*")+COUNTIF(H17:I17,D21)+COUNTIF(H17:I17,"*,"&amp;D21&amp;",*")+COUNTIF(K17:L17,D21)+COUNTIF(K17:L17,"*,"&amp;D21&amp;",*")+COUNTIF(N17:O17,D21)+COUNTIF(N17:O17,"*,"&amp;D21&amp;",*")=0,"",COUNTIF(B5:C5,D21)+COUNTIF(B5:C5,"*,"&amp;D21&amp;",*")+COUNTIF(E5:F5,D21)+COUNTIF(E5:F5,"*,"&amp;D21&amp;",*")+COUNTIF(H5:I5,D21)+COUNTIF(H5:I5,"*,"&amp;D21&amp;",*")+COUNTIF(K5:L5,D21)+COUNTIF(K5:L5,"*,"&amp;D21&amp;",*")+COUNTIF(N5:O5,D21)+COUNTIF(N5:O5,"*,"&amp;D21&amp;",*")+COUNTIF(B7:C7,D21)+COUNTIF(B7:C7,"*,"&amp;D21&amp;",*")+COUNTIF(E7:F7,D21)+COUNTIF(E7:F7,"*,"&amp;D21&amp;",*")+COUNTIF(H7:I7,D21)+COUNTIF(H7:I7,"*,"&amp;D21&amp;",*")+COUNTIF(K7:L7,D21)+COUNTIF(K7:L7,"*,"&amp;D21&amp;",*")+COUNTIF(N7:O7,D21)+COUNTIF(N7:O7,"*,"&amp;D21&amp;",*")+COUNTIF(B9:C9,D21)+COUNTIF(B9:C9,"*,"&amp;D21&amp;",*")+COUNTIF(E9:F9,D21)+COUNTIF(E9:F9,"*,"&amp;D21&amp;",*")+COUNTIF(H9:I9,D21)+COUNTIF(H9:I9,"*,"&amp;D21&amp;",*")+COUNTIF(K9:L9,D21)+COUNTIF(K9:L9,"*,"&amp;D21&amp;",*")+COUNTIF(N9:O9,D21)+COUNTIF(N9:O9,"*,"&amp;D21&amp;",*")+COUNTIF(B11:C11,D21)+COUNTIF(B11:C11,"*,"&amp;D21&amp;",*")+COUNTIF(E11:F11,D21)+COUNTIF(E11:F11,"*,"&amp;D21&amp;",*")+COUNTIF(H11:I11,D21)+COUNTIF(H11:I11,"*,"&amp;D21&amp;",*")+COUNTIF(K11:L11,D21)+COUNTIF(K11:L11,"*,"&amp;D21&amp;",*")+COUNTIF(N11:O11,D21)+COUNTIF(N11:O11,"*,"&amp;D21&amp;",*")+COUNTIF(B13:C13,D21)+COUNTIF(B13:C13,"*,"&amp;D21&amp;",*")+COUNTIF(E13:F13,D21)+COUNTIF(E13:F13,"*,"&amp;D21&amp;",*")+COUNTIF(H13:I13,D21)+COUNTIF(H13:I13,"*,"&amp;D21&amp;",*")+COUNTIF(K13:L13,D21)+COUNTIF(K13:L13,"*,"&amp;D21&amp;",*")+COUNTIF(N13:O13,D21)+COUNTIF(N13:O13,"*,"&amp;D21&amp;",*")+COUNTIF(B15:C15,D21)+COUNTIF(B15:C15,"*,"&amp;D21&amp;",*")+COUNTIF(E15:F15,D21)+COUNTIF(E15:F15,"*,"&amp;D21&amp;",*")+COUNTIF(H15:I15,D21)+COUNTIF(H15:I15,"*,"&amp;D21&amp;",*")+COUNTIF(K15:L15,D21)+COUNTIF(K15:L15,"*,"&amp;D21&amp;",*")+COUNTIF(N15:O15,D21)+COUNTIF(N15:O15,"*,"&amp;D21&amp;",*")+COUNTIF(B17:C17,D21)+COUNTIF(B17:C17,"*,"&amp;D21&amp;",*")+COUNTIF(E17:F17,D21)+COUNTIF(E17:F17,"*,"&amp;D21&amp;",*")+COUNTIF(H17:I17,D21)+COUNTIF(H17:I17,"*,"&amp;D21&amp;",*")+COUNTIF(K17:L17,D21)+COUNTIF(K17:L17,"*,"&amp;D21&amp;",*")+COUNTIF(N17:O17,D21)+COUNTIF(N17:O17,"*,"&amp;D21&amp;",*")))</f>
        <v/>
      </c>
      <c r="E24" s="21">
        <f>IF(E21="","",IF(COUNTIF(B5:C5,E21)+COUNTIF(B5:C5,"*,"&amp;E21&amp;",*")+COUNTIF(E5:F5,E21)+COUNTIF(E5:F5,"*,"&amp;E21&amp;",*")+COUNTIF(H5:I5,E21)+COUNTIF(H5:I5,"*,"&amp;E21&amp;",*")+COUNTIF(K5:L5,E21)+COUNTIF(K5:L5,"*,"&amp;E21&amp;",*")+COUNTIF(N5:O5,E21)+COUNTIF(N5:O5,"*,"&amp;E21&amp;",*")+COUNTIF(B7:C7,E21)+COUNTIF(B7:C7,"*,"&amp;E21&amp;",*")+COUNTIF(E7:F7,E21)+COUNTIF(E7:F7,"*,"&amp;E21&amp;",*")+COUNTIF(H7:I7,E21)+COUNTIF(H7:I7,"*,"&amp;E21&amp;",*")+COUNTIF(K7:L7,E21)+COUNTIF(K7:L7,"*,"&amp;E21&amp;",*")+COUNTIF(N7:O7,E21)+COUNTIF(N7:O7,"*,"&amp;E21&amp;",*")+COUNTIF(B9:C9,E21)+COUNTIF(B9:C9,"*,"&amp;E21&amp;",*")+COUNTIF(E9:F9,E21)+COUNTIF(E9:F9,"*,"&amp;E21&amp;",*")+COUNTIF(H9:I9,E21)+COUNTIF(H9:I9,"*,"&amp;E21&amp;",*")+COUNTIF(K9:L9,E21)+COUNTIF(K9:L9,"*,"&amp;E21&amp;",*")+COUNTIF(N9:O9,E21)+COUNTIF(N9:O9,"*,"&amp;E21&amp;",*")+COUNTIF(B11:C11,E21)+COUNTIF(B11:C11,"*,"&amp;E21&amp;",*")+COUNTIF(E11:F11,E21)+COUNTIF(E11:F11,"*,"&amp;E21&amp;",*")+COUNTIF(H11:I11,E21)+COUNTIF(H11:I11,"*,"&amp;E21&amp;",*")+COUNTIF(K11:L11,E21)+COUNTIF(K11:L11,"*,"&amp;E21&amp;",*")+COUNTIF(N11:O11,E21)+COUNTIF(N11:O11,"*,"&amp;E21&amp;",*")+COUNTIF(B13:C13,E21)+COUNTIF(B13:C13,"*,"&amp;E21&amp;",*")+COUNTIF(E13:F13,E21)+COUNTIF(E13:F13,"*,"&amp;E21&amp;",*")+COUNTIF(H13:I13,E21)+COUNTIF(H13:I13,"*,"&amp;E21&amp;",*")+COUNTIF(K13:L13,E21)+COUNTIF(K13:L13,"*,"&amp;E21&amp;",*")+COUNTIF(N13:O13,E21)+COUNTIF(N13:O13,"*,"&amp;E21&amp;",*")+COUNTIF(B15:C15,E21)+COUNTIF(B15:C15,"*,"&amp;E21&amp;",*")+COUNTIF(E15:F15,E21)+COUNTIF(E15:F15,"*,"&amp;E21&amp;",*")+COUNTIF(H15:I15,E21)+COUNTIF(H15:I15,"*,"&amp;E21&amp;",*")+COUNTIF(K15:L15,E21)+COUNTIF(K15:L15,"*,"&amp;E21&amp;",*")+COUNTIF(N15:O15,E21)+COUNTIF(N15:O15,"*,"&amp;E21&amp;",*")+COUNTIF(B17:C17,E21)+COUNTIF(B17:C17,"*,"&amp;E21&amp;",*")+COUNTIF(E17:F17,E21)+COUNTIF(E17:F17,"*,"&amp;E21&amp;",*")+COUNTIF(H17:I17,E21)+COUNTIF(H17:I17,"*,"&amp;E21&amp;",*")+COUNTIF(K17:L17,E21)+COUNTIF(K17:L17,"*,"&amp;E21&amp;",*")+COUNTIF(N17:O17,E21)+COUNTIF(N17:O17,"*,"&amp;E21&amp;",*")=0,"",COUNTIF(B5:C5,E21)+COUNTIF(B5:C5,"*,"&amp;E21&amp;",*")+COUNTIF(E5:F5,E21)+COUNTIF(E5:F5,"*,"&amp;E21&amp;",*")+COUNTIF(H5:I5,E21)+COUNTIF(H5:I5,"*,"&amp;E21&amp;",*")+COUNTIF(K5:L5,E21)+COUNTIF(K5:L5,"*,"&amp;E21&amp;",*")+COUNTIF(N5:O5,E21)+COUNTIF(N5:O5,"*,"&amp;E21&amp;",*")+COUNTIF(B7:C7,E21)+COUNTIF(B7:C7,"*,"&amp;E21&amp;",*")+COUNTIF(E7:F7,E21)+COUNTIF(E7:F7,"*,"&amp;E21&amp;",*")+COUNTIF(H7:I7,E21)+COUNTIF(H7:I7,"*,"&amp;E21&amp;",*")+COUNTIF(K7:L7,E21)+COUNTIF(K7:L7,"*,"&amp;E21&amp;",*")+COUNTIF(N7:O7,E21)+COUNTIF(N7:O7,"*,"&amp;E21&amp;",*")+COUNTIF(B9:C9,E21)+COUNTIF(B9:C9,"*,"&amp;E21&amp;",*")+COUNTIF(E9:F9,E21)+COUNTIF(E9:F9,"*,"&amp;E21&amp;",*")+COUNTIF(H9:I9,E21)+COUNTIF(H9:I9,"*,"&amp;E21&amp;",*")+COUNTIF(K9:L9,E21)+COUNTIF(K9:L9,"*,"&amp;E21&amp;",*")+COUNTIF(N9:O9,E21)+COUNTIF(N9:O9,"*,"&amp;E21&amp;",*")+COUNTIF(B11:C11,E21)+COUNTIF(B11:C11,"*,"&amp;E21&amp;",*")+COUNTIF(E11:F11,E21)+COUNTIF(E11:F11,"*,"&amp;E21&amp;",*")+COUNTIF(H11:I11,E21)+COUNTIF(H11:I11,"*,"&amp;E21&amp;",*")+COUNTIF(K11:L11,E21)+COUNTIF(K11:L11,"*,"&amp;E21&amp;",*")+COUNTIF(N11:O11,E21)+COUNTIF(N11:O11,"*,"&amp;E21&amp;",*")+COUNTIF(B13:C13,E21)+COUNTIF(B13:C13,"*,"&amp;E21&amp;",*")+COUNTIF(E13:F13,E21)+COUNTIF(E13:F13,"*,"&amp;E21&amp;",*")+COUNTIF(H13:I13,E21)+COUNTIF(H13:I13,"*,"&amp;E21&amp;",*")+COUNTIF(K13:L13,E21)+COUNTIF(K13:L13,"*,"&amp;E21&amp;",*")+COUNTIF(N13:O13,E21)+COUNTIF(N13:O13,"*,"&amp;E21&amp;",*")+COUNTIF(B15:C15,E21)+COUNTIF(B15:C15,"*,"&amp;E21&amp;",*")+COUNTIF(E15:F15,E21)+COUNTIF(E15:F15,"*,"&amp;E21&amp;",*")+COUNTIF(H15:I15,E21)+COUNTIF(H15:I15,"*,"&amp;E21&amp;",*")+COUNTIF(K15:L15,E21)+COUNTIF(K15:L15,"*,"&amp;E21&amp;",*")+COUNTIF(N15:O15,E21)+COUNTIF(N15:O15,"*,"&amp;E21&amp;",*")+COUNTIF(B17:C17,E21)+COUNTIF(B17:C17,"*,"&amp;E21&amp;",*")+COUNTIF(E17:F17,E21)+COUNTIF(E17:F17,"*,"&amp;E21&amp;",*")+COUNTIF(H17:I17,E21)+COUNTIF(H17:I17,"*,"&amp;E21&amp;",*")+COUNTIF(K17:L17,E21)+COUNTIF(K17:L17,"*,"&amp;E21&amp;",*")+COUNTIF(N17:O17,E21)+COUNTIF(N17:O17,"*,"&amp;E21&amp;",*")))</f>
        <v/>
      </c>
      <c r="F24" s="21">
        <f>IF(F21="","",IF(COUNTIF(B5:C5,F21)+COUNTIF(B5:C5,"*,"&amp;F21&amp;",*")+COUNTIF(E5:F5,F21)+COUNTIF(E5:F5,"*,"&amp;F21&amp;",*")+COUNTIF(H5:I5,F21)+COUNTIF(H5:I5,"*,"&amp;F21&amp;",*")+COUNTIF(K5:L5,F21)+COUNTIF(K5:L5,"*,"&amp;F21&amp;",*")+COUNTIF(N5:O5,F21)+COUNTIF(N5:O5,"*,"&amp;F21&amp;",*")+COUNTIF(B7:C7,F21)+COUNTIF(B7:C7,"*,"&amp;F21&amp;",*")+COUNTIF(E7:F7,F21)+COUNTIF(E7:F7,"*,"&amp;F21&amp;",*")+COUNTIF(H7:I7,F21)+COUNTIF(H7:I7,"*,"&amp;F21&amp;",*")+COUNTIF(K7:L7,F21)+COUNTIF(K7:L7,"*,"&amp;F21&amp;",*")+COUNTIF(N7:O7,F21)+COUNTIF(N7:O7,"*,"&amp;F21&amp;",*")+COUNTIF(B9:C9,F21)+COUNTIF(B9:C9,"*,"&amp;F21&amp;",*")+COUNTIF(E9:F9,F21)+COUNTIF(E9:F9,"*,"&amp;F21&amp;",*")+COUNTIF(H9:I9,F21)+COUNTIF(H9:I9,"*,"&amp;F21&amp;",*")+COUNTIF(K9:L9,F21)+COUNTIF(K9:L9,"*,"&amp;F21&amp;",*")+COUNTIF(N9:O9,F21)+COUNTIF(N9:O9,"*,"&amp;F21&amp;",*")+COUNTIF(B11:C11,F21)+COUNTIF(B11:C11,"*,"&amp;F21&amp;",*")+COUNTIF(E11:F11,F21)+COUNTIF(E11:F11,"*,"&amp;F21&amp;",*")+COUNTIF(H11:I11,F21)+COUNTIF(H11:I11,"*,"&amp;F21&amp;",*")+COUNTIF(K11:L11,F21)+COUNTIF(K11:L11,"*,"&amp;F21&amp;",*")+COUNTIF(N11:O11,F21)+COUNTIF(N11:O11,"*,"&amp;F21&amp;",*")+COUNTIF(B13:C13,F21)+COUNTIF(B13:C13,"*,"&amp;F21&amp;",*")+COUNTIF(E13:F13,F21)+COUNTIF(E13:F13,"*,"&amp;F21&amp;",*")+COUNTIF(H13:I13,F21)+COUNTIF(H13:I13,"*,"&amp;F21&amp;",*")+COUNTIF(K13:L13,F21)+COUNTIF(K13:L13,"*,"&amp;F21&amp;",*")+COUNTIF(N13:O13,F21)+COUNTIF(N13:O13,"*,"&amp;F21&amp;",*")+COUNTIF(B15:C15,F21)+COUNTIF(B15:C15,"*,"&amp;F21&amp;",*")+COUNTIF(E15:F15,F21)+COUNTIF(E15:F15,"*,"&amp;F21&amp;",*")+COUNTIF(H15:I15,F21)+COUNTIF(H15:I15,"*,"&amp;F21&amp;",*")+COUNTIF(K15:L15,F21)+COUNTIF(K15:L15,"*,"&amp;F21&amp;",*")+COUNTIF(N15:O15,F21)+COUNTIF(N15:O15,"*,"&amp;F21&amp;",*")+COUNTIF(B17:C17,F21)+COUNTIF(B17:C17,"*,"&amp;F21&amp;",*")+COUNTIF(E17:F17,F21)+COUNTIF(E17:F17,"*,"&amp;F21&amp;",*")+COUNTIF(H17:I17,F21)+COUNTIF(H17:I17,"*,"&amp;F21&amp;",*")+COUNTIF(K17:L17,F21)+COUNTIF(K17:L17,"*,"&amp;F21&amp;",*")+COUNTIF(N17:O17,F21)+COUNTIF(N17:O17,"*,"&amp;F21&amp;",*")=0,"",COUNTIF(B5:C5,F21)+COUNTIF(B5:C5,"*,"&amp;F21&amp;",*")+COUNTIF(E5:F5,F21)+COUNTIF(E5:F5,"*,"&amp;F21&amp;",*")+COUNTIF(H5:I5,F21)+COUNTIF(H5:I5,"*,"&amp;F21&amp;",*")+COUNTIF(K5:L5,F21)+COUNTIF(K5:L5,"*,"&amp;F21&amp;",*")+COUNTIF(N5:O5,F21)+COUNTIF(N5:O5,"*,"&amp;F21&amp;",*")+COUNTIF(B7:C7,F21)+COUNTIF(B7:C7,"*,"&amp;F21&amp;",*")+COUNTIF(E7:F7,F21)+COUNTIF(E7:F7,"*,"&amp;F21&amp;",*")+COUNTIF(H7:I7,F21)+COUNTIF(H7:I7,"*,"&amp;F21&amp;",*")+COUNTIF(K7:L7,F21)+COUNTIF(K7:L7,"*,"&amp;F21&amp;",*")+COUNTIF(N7:O7,F21)+COUNTIF(N7:O7,"*,"&amp;F21&amp;",*")+COUNTIF(B9:C9,F21)+COUNTIF(B9:C9,"*,"&amp;F21&amp;",*")+COUNTIF(E9:F9,F21)+COUNTIF(E9:F9,"*,"&amp;F21&amp;",*")+COUNTIF(H9:I9,F21)+COUNTIF(H9:I9,"*,"&amp;F21&amp;",*")+COUNTIF(K9:L9,F21)+COUNTIF(K9:L9,"*,"&amp;F21&amp;",*")+COUNTIF(N9:O9,F21)+COUNTIF(N9:O9,"*,"&amp;F21&amp;",*")+COUNTIF(B11:C11,F21)+COUNTIF(B11:C11,"*,"&amp;F21&amp;",*")+COUNTIF(E11:F11,F21)+COUNTIF(E11:F11,"*,"&amp;F21&amp;",*")+COUNTIF(H11:I11,F21)+COUNTIF(H11:I11,"*,"&amp;F21&amp;",*")+COUNTIF(K11:L11,F21)+COUNTIF(K11:L11,"*,"&amp;F21&amp;",*")+COUNTIF(N11:O11,F21)+COUNTIF(N11:O11,"*,"&amp;F21&amp;",*")+COUNTIF(B13:C13,F21)+COUNTIF(B13:C13,"*,"&amp;F21&amp;",*")+COUNTIF(E13:F13,F21)+COUNTIF(E13:F13,"*,"&amp;F21&amp;",*")+COUNTIF(H13:I13,F21)+COUNTIF(H13:I13,"*,"&amp;F21&amp;",*")+COUNTIF(K13:L13,F21)+COUNTIF(K13:L13,"*,"&amp;F21&amp;",*")+COUNTIF(N13:O13,F21)+COUNTIF(N13:O13,"*,"&amp;F21&amp;",*")+COUNTIF(B15:C15,F21)+COUNTIF(B15:C15,"*,"&amp;F21&amp;",*")+COUNTIF(E15:F15,F21)+COUNTIF(E15:F15,"*,"&amp;F21&amp;",*")+COUNTIF(H15:I15,F21)+COUNTIF(H15:I15,"*,"&amp;F21&amp;",*")+COUNTIF(K15:L15,F21)+COUNTIF(K15:L15,"*,"&amp;F21&amp;",*")+COUNTIF(N15:O15,F21)+COUNTIF(N15:O15,"*,"&amp;F21&amp;",*")+COUNTIF(B17:C17,F21)+COUNTIF(B17:C17,"*,"&amp;F21&amp;",*")+COUNTIF(E17:F17,F21)+COUNTIF(E17:F17,"*,"&amp;F21&amp;",*")+COUNTIF(H17:I17,F21)+COUNTIF(H17:I17,"*,"&amp;F21&amp;",*")+COUNTIF(K17:L17,F21)+COUNTIF(K17:L17,"*,"&amp;F21&amp;",*")+COUNTIF(N17:O17,F21)+COUNTIF(N17:O17,"*,"&amp;F21&amp;",*")))</f>
        <v/>
      </c>
      <c r="G24" s="21">
        <f>IF(G21="","",IF(COUNTIF(B5:C5,G21)+COUNTIF(B5:C5,"*,"&amp;G21&amp;",*")+COUNTIF(E5:F5,G21)+COUNTIF(E5:F5,"*,"&amp;G21&amp;",*")+COUNTIF(H5:I5,G21)+COUNTIF(H5:I5,"*,"&amp;G21&amp;",*")+COUNTIF(K5:L5,G21)+COUNTIF(K5:L5,"*,"&amp;G21&amp;",*")+COUNTIF(N5:O5,G21)+COUNTIF(N5:O5,"*,"&amp;G21&amp;",*")+COUNTIF(B7:C7,G21)+COUNTIF(B7:C7,"*,"&amp;G21&amp;",*")+COUNTIF(E7:F7,G21)+COUNTIF(E7:F7,"*,"&amp;G21&amp;",*")+COUNTIF(H7:I7,G21)+COUNTIF(H7:I7,"*,"&amp;G21&amp;",*")+COUNTIF(K7:L7,G21)+COUNTIF(K7:L7,"*,"&amp;G21&amp;",*")+COUNTIF(N7:O7,G21)+COUNTIF(N7:O7,"*,"&amp;G21&amp;",*")+COUNTIF(B9:C9,G21)+COUNTIF(B9:C9,"*,"&amp;G21&amp;",*")+COUNTIF(E9:F9,G21)+COUNTIF(E9:F9,"*,"&amp;G21&amp;",*")+COUNTIF(H9:I9,G21)+COUNTIF(H9:I9,"*,"&amp;G21&amp;",*")+COUNTIF(K9:L9,G21)+COUNTIF(K9:L9,"*,"&amp;G21&amp;",*")+COUNTIF(N9:O9,G21)+COUNTIF(N9:O9,"*,"&amp;G21&amp;",*")+COUNTIF(B11:C11,G21)+COUNTIF(B11:C11,"*,"&amp;G21&amp;",*")+COUNTIF(E11:F11,G21)+COUNTIF(E11:F11,"*,"&amp;G21&amp;",*")+COUNTIF(H11:I11,G21)+COUNTIF(H11:I11,"*,"&amp;G21&amp;",*")+COUNTIF(K11:L11,G21)+COUNTIF(K11:L11,"*,"&amp;G21&amp;",*")+COUNTIF(N11:O11,G21)+COUNTIF(N11:O11,"*,"&amp;G21&amp;",*")+COUNTIF(B13:C13,G21)+COUNTIF(B13:C13,"*,"&amp;G21&amp;",*")+COUNTIF(E13:F13,G21)+COUNTIF(E13:F13,"*,"&amp;G21&amp;",*")+COUNTIF(H13:I13,G21)+COUNTIF(H13:I13,"*,"&amp;G21&amp;",*")+COUNTIF(K13:L13,G21)+COUNTIF(K13:L13,"*,"&amp;G21&amp;",*")+COUNTIF(N13:O13,G21)+COUNTIF(N13:O13,"*,"&amp;G21&amp;",*")+COUNTIF(B15:C15,G21)+COUNTIF(B15:C15,"*,"&amp;G21&amp;",*")+COUNTIF(E15:F15,G21)+COUNTIF(E15:F15,"*,"&amp;G21&amp;",*")+COUNTIF(H15:I15,G21)+COUNTIF(H15:I15,"*,"&amp;G21&amp;",*")+COUNTIF(K15:L15,G21)+COUNTIF(K15:L15,"*,"&amp;G21&amp;",*")+COUNTIF(N15:O15,G21)+COUNTIF(N15:O15,"*,"&amp;G21&amp;",*")+COUNTIF(B17:C17,G21)+COUNTIF(B17:C17,"*,"&amp;G21&amp;",*")+COUNTIF(E17:F17,G21)+COUNTIF(E17:F17,"*,"&amp;G21&amp;",*")+COUNTIF(H17:I17,G21)+COUNTIF(H17:I17,"*,"&amp;G21&amp;",*")+COUNTIF(K17:L17,G21)+COUNTIF(K17:L17,"*,"&amp;G21&amp;",*")+COUNTIF(N17:O17,G21)+COUNTIF(N17:O17,"*,"&amp;G21&amp;",*")=0,"",COUNTIF(B5:C5,G21)+COUNTIF(B5:C5,"*,"&amp;G21&amp;",*")+COUNTIF(E5:F5,G21)+COUNTIF(E5:F5,"*,"&amp;G21&amp;",*")+COUNTIF(H5:I5,G21)+COUNTIF(H5:I5,"*,"&amp;G21&amp;",*")+COUNTIF(K5:L5,G21)+COUNTIF(K5:L5,"*,"&amp;G21&amp;",*")+COUNTIF(N5:O5,G21)+COUNTIF(N5:O5,"*,"&amp;G21&amp;",*")+COUNTIF(B7:C7,G21)+COUNTIF(B7:C7,"*,"&amp;G21&amp;",*")+COUNTIF(E7:F7,G21)+COUNTIF(E7:F7,"*,"&amp;G21&amp;",*")+COUNTIF(H7:I7,G21)+COUNTIF(H7:I7,"*,"&amp;G21&amp;",*")+COUNTIF(K7:L7,G21)+COUNTIF(K7:L7,"*,"&amp;G21&amp;",*")+COUNTIF(N7:O7,G21)+COUNTIF(N7:O7,"*,"&amp;G21&amp;",*")+COUNTIF(B9:C9,G21)+COUNTIF(B9:C9,"*,"&amp;G21&amp;",*")+COUNTIF(E9:F9,G21)+COUNTIF(E9:F9,"*,"&amp;G21&amp;",*")+COUNTIF(H9:I9,G21)+COUNTIF(H9:I9,"*,"&amp;G21&amp;",*")+COUNTIF(K9:L9,G21)+COUNTIF(K9:L9,"*,"&amp;G21&amp;",*")+COUNTIF(N9:O9,G21)+COUNTIF(N9:O9,"*,"&amp;G21&amp;",*")+COUNTIF(B11:C11,G21)+COUNTIF(B11:C11,"*,"&amp;G21&amp;",*")+COUNTIF(E11:F11,G21)+COUNTIF(E11:F11,"*,"&amp;G21&amp;",*")+COUNTIF(H11:I11,G21)+COUNTIF(H11:I11,"*,"&amp;G21&amp;",*")+COUNTIF(K11:L11,G21)+COUNTIF(K11:L11,"*,"&amp;G21&amp;",*")+COUNTIF(N11:O11,G21)+COUNTIF(N11:O11,"*,"&amp;G21&amp;",*")+COUNTIF(B13:C13,G21)+COUNTIF(B13:C13,"*,"&amp;G21&amp;",*")+COUNTIF(E13:F13,G21)+COUNTIF(E13:F13,"*,"&amp;G21&amp;",*")+COUNTIF(H13:I13,G21)+COUNTIF(H13:I13,"*,"&amp;G21&amp;",*")+COUNTIF(K13:L13,G21)+COUNTIF(K13:L13,"*,"&amp;G21&amp;",*")+COUNTIF(N13:O13,G21)+COUNTIF(N13:O13,"*,"&amp;G21&amp;",*")+COUNTIF(B15:C15,G21)+COUNTIF(B15:C15,"*,"&amp;G21&amp;",*")+COUNTIF(E15:F15,G21)+COUNTIF(E15:F15,"*,"&amp;G21&amp;",*")+COUNTIF(H15:I15,G21)+COUNTIF(H15:I15,"*,"&amp;G21&amp;",*")+COUNTIF(K15:L15,G21)+COUNTIF(K15:L15,"*,"&amp;G21&amp;",*")+COUNTIF(N15:O15,G21)+COUNTIF(N15:O15,"*,"&amp;G21&amp;",*")+COUNTIF(B17:C17,G21)+COUNTIF(B17:C17,"*,"&amp;G21&amp;",*")+COUNTIF(E17:F17,G21)+COUNTIF(E17:F17,"*,"&amp;G21&amp;",*")+COUNTIF(H17:I17,G21)+COUNTIF(H17:I17,"*,"&amp;G21&amp;",*")+COUNTIF(K17:L17,G21)+COUNTIF(K17:L17,"*,"&amp;G21&amp;",*")+COUNTIF(N17:O17,G21)+COUNTIF(N17:O17,"*,"&amp;G21&amp;",*")))</f>
        <v/>
      </c>
      <c r="H24" s="21"/>
      <c r="I24" s="21"/>
      <c r="J24" s="21"/>
      <c r="K24" s="21"/>
      <c r="L24" s="21"/>
      <c r="M24" s="21">
        <f>IF(COUNTIF(B5:C5,"特活")+COUNTIF(B5:C5,"学活")+COUNTIF(E5:F5,"特活")+COUNTIF(E5:F5,"学活")+COUNTIF(H5:I5,"特活")+COUNTIF(H5:I5,"学活")+COUNTIF(K5:L5,"特活")+COUNTIF(K5:L5,"学活")+COUNTIF(N5:O5,"特活")+COUNTIF(N5:O5,"学活")+COUNTIF(B7:C7,"特活")+COUNTIF(B7:C7,"学活")+COUNTIF(E7:F7,"特活")+COUNTIF(E7:F7,"学活")+COUNTIF(H7:I7,"特活")+COUNTIF(H7:I7,"学活")+COUNTIF(K7:L7,"特活")+COUNTIF(K7:L7,"学活")+COUNTIF(N7:O7,"特活")+COUNTIF(N7:O7,"学活")+COUNTIF(B9:C9,"特活")+COUNTIF(B9:C9,"学活")+COUNTIF(E9:F9,"特活")+COUNTIF(E9:F9,"学活")+COUNTIF(H9:I9,"特活")+COUNTIF(H9:I9,"学活")+COUNTIF(K9:L9,"特活")+COUNTIF(K9:L9,"学活")+COUNTIF(N9:O9,"特活")+COUNTIF(N9:O9,"学活")+COUNTIF(B11:C11,"特活")+COUNTIF(B11:C11,"学活")+COUNTIF(E11:F11,"特活")+COUNTIF(E11:F11,"学活")+COUNTIF(H11:I11,"特活")+COUNTIF(H11:I11,"学活")+COUNTIF(K11:L11,"特活")+COUNTIF(K11:L11,"学活")+COUNTIF(N11:O11,"特活")+COUNTIF(N11:O11,"学活")+COUNTIF(B13:C13,"特活")+COUNTIF(B13:C13,"学活")+COUNTIF(E13:F13,"特活")+COUNTIF(E13:F13,"学活")+COUNTIF(H13:I13,"特活")+COUNTIF(H13:I13,"学活")+COUNTIF(K13:L13,"特活")+COUNTIF(K13:L13,"学活")+COUNTIF(N13:O13,"特活")+COUNTIF(N13:O13,"学活")+COUNTIF(B15:C15,"特活")+COUNTIF(B15:C15,"学活")+COUNTIF(E15:F15,"特活")+COUNTIF(E15:F15,"学活")+COUNTIF(H15:I15,"特活")+COUNTIF(H15:I15,"学活")+COUNTIF(K15:L15,"特活")+COUNTIF(K15:L15,"学活")+COUNTIF(N15:O15,"特活")+COUNTIF(N15:O15,"学活")+COUNTIF(B17:C17,"特活")+COUNTIF(B17:C17,"学活")+COUNTIF(E17:F17,"特活")+COUNTIF(E17:F17,"学活")+COUNTIF(H17:I17,"特活")+COUNTIF(H17:I17,"学活")+COUNTIF(K17:L17,"特活")+COUNTIF(K17:L17,"学活")+COUNTIF(N17:O17,"特活")+COUNTIF(N17:O17,"学活")=0,"",COUNTIF(B5:C5,"特活")+COUNTIF(B5:C5,"学活")+COUNTIF(E5:F5,"特活")+COUNTIF(E5:F5,"学活")+COUNTIF(H5:I5,"特活")+COUNTIF(H5:I5,"学活")+COUNTIF(K5:L5,"特活")+COUNTIF(K5:L5,"学活")+COUNTIF(N5:O5,"特活")+COUNTIF(N5:O5,"学活")+COUNTIF(B7:C7,"特活")+COUNTIF(B7:C7,"学活")+COUNTIF(E7:F7,"特活")+COUNTIF(E7:F7,"学活")+COUNTIF(H7:I7,"特活")+COUNTIF(H7:I7,"学活")+COUNTIF(K7:L7,"特活")+COUNTIF(K7:L7,"学活")+COUNTIF(N7:O7,"特活")+COUNTIF(N7:O7,"学活")+COUNTIF(B9:C9,"特活")+COUNTIF(B9:C9,"学活")+COUNTIF(E9:F9,"特活")+COUNTIF(E9:F9,"学活")+COUNTIF(H9:I9,"特活")+COUNTIF(H9:I9,"学活")+COUNTIF(K9:L9,"特活")+COUNTIF(K9:L9,"学活")+COUNTIF(N9:O9,"特活")+COUNTIF(N9:O9,"学活")+COUNTIF(B11:C11,"特活")+COUNTIF(B11:C11,"学活")+COUNTIF(E11:F11,"特活")+COUNTIF(E11:F11,"学活")+COUNTIF(H11:I11,"特活")+COUNTIF(H11:I11,"学活")+COUNTIF(K11:L11,"特活")+COUNTIF(K11:L11,"学活")+COUNTIF(N11:O11,"特活")+COUNTIF(N11:O11,"学活")+COUNTIF(B13:C13,"特活")+COUNTIF(B13:C13,"学活")+COUNTIF(E13:F13,"特活")+COUNTIF(E13:F13,"学活")+COUNTIF(H13:I13,"特活")+COUNTIF(H13:I13,"学活")+COUNTIF(K13:L13,"特活")+COUNTIF(K13:L13,"学活")+COUNTIF(N13:O13,"特活")+COUNTIF(N13:O13,"学活")+COUNTIF(B15:C15,"特活")+COUNTIF(B15:C15,"学活")+COUNTIF(E15:F15,"特活")+COUNTIF(E15:F15,"学活")+COUNTIF(H15:I15,"特活")+COUNTIF(H15:I15,"学活")+COUNTIF(K15:L15,"特活")+COUNTIF(K15:L15,"学活")+COUNTIF(N15:O15,"特活")+COUNTIF(N15:O15,"学活")+COUNTIF(B17:C17,"特活")+COUNTIF(B17:C17,"学活")+COUNTIF(E17:F17,"特活")+COUNTIF(E17:F17,"学活")+COUNTIF(H17:I17,"特活")+COUNTIF(H17:I17,"学活")+COUNTIF(K17:L17,"特活")+COUNTIF(K17:L17,"学活")+COUNTIF(N17:O17,"特活")+COUNTIF(N17:O17,"学活"))</f>
        <v/>
      </c>
      <c r="N24" s="21">
        <f>IF(COUNTIF(B5:C5,N21)+COUNTIF(B5:C5,"*,"&amp;N21&amp;",*")+COUNTIF(E5:F5,N21)+COUNTIF(E5:F5,"*,"&amp;N21&amp;",*")+COUNTIF(H5:I5,N21)+COUNTIF(H5:I5,"*,"&amp;N21&amp;",*")+COUNTIF(K5:L5,N21)+COUNTIF(K5:L5,"*,"&amp;N21&amp;",*")+COUNTIF(N5:O5,N21)+COUNTIF(N5:O5,"*,"&amp;N21&amp;",*")+COUNTIF(B7:C7,N21)+COUNTIF(B7:C7,"*,"&amp;N21&amp;",*")+COUNTIF(E7:F7,N21)+COUNTIF(E7:F7,"*,"&amp;N21&amp;",*")+COUNTIF(H7:I7,N21)+COUNTIF(H7:I7,"*,"&amp;N21&amp;",*")+COUNTIF(K7:L7,N21)+COUNTIF(K7:L7,"*,"&amp;N21&amp;",*")+COUNTIF(N7:O7,N21)+COUNTIF(N7:O7,"*,"&amp;N21&amp;",*")+COUNTIF(B9:C9,N21)+COUNTIF(B9:C9,"*,"&amp;N21&amp;",*")+COUNTIF(E9:F9,N21)+COUNTIF(E9:F9,"*,"&amp;N21&amp;",*")+COUNTIF(H9:I9,N21)+COUNTIF(H9:I9,"*,"&amp;N21&amp;",*")+COUNTIF(K9:L9,N21)+COUNTIF(K9:L9,"*,"&amp;N21&amp;",*")+COUNTIF(N9:O9,N21)+COUNTIF(N9:O9,"*,"&amp;N21&amp;",*")+COUNTIF(B11:C11,N21)+COUNTIF(B11:C11,"*,"&amp;N21&amp;",*")+COUNTIF(E11:F11,N21)+COUNTIF(E11:F11,"*,"&amp;N21&amp;",*")+COUNTIF(H11:I11,N21)+COUNTIF(H11:I11,"*,"&amp;N21&amp;",*")+COUNTIF(K11:L11,N21)+COUNTIF(K11:L11,"*,"&amp;N21&amp;",*")+COUNTIF(N11:O11,N21)+COUNTIF(N11:O11,"*,"&amp;N21&amp;",*")+COUNTIF(B13:C13,N21)+COUNTIF(B13:C13,"*,"&amp;N21&amp;",*")+COUNTIF(E13:F13,N21)+COUNTIF(E13:F13,"*,"&amp;N21&amp;",*")+COUNTIF(H13:I13,N21)+COUNTIF(H13:I13,"*,"&amp;N21&amp;",*")+COUNTIF(K13:L13,N21)+COUNTIF(K13:L13,"*,"&amp;N21&amp;",*")+COUNTIF(N13:O13,N21)+COUNTIF(N13:O13,"*,"&amp;N21&amp;",*")+COUNTIF(B15:C15,N21)+COUNTIF(B15:C15,"*,"&amp;N21&amp;",*")+COUNTIF(E15:F15,N21)+COUNTIF(E15:F15,"*,"&amp;N21&amp;",*")+COUNTIF(H15:I15,N21)+COUNTIF(H15:I15,"*,"&amp;N21&amp;",*")+COUNTIF(K15:L15,N21)+COUNTIF(K15:L15,"*,"&amp;N21&amp;",*")+COUNTIF(N15:O15,N21)+COUNTIF(N15:O15,"*,"&amp;N21&amp;",*")+COUNTIF(B17:C17,N21)+COUNTIF(B17:C17,"*,"&amp;N21&amp;",*")+COUNTIF(E17:F17,N21)+COUNTIF(E17:F17,"*,"&amp;N21&amp;",*")+COUNTIF(H17:I17,N21)+COUNTIF(H17:I17,"*,"&amp;N21&amp;",*")+COUNTIF(K17:L17,N21)+COUNTIF(K17:L17,"*,"&amp;N21&amp;",*")+COUNTIF(N17:O17,N21)+COUNTIF(N17:O17,"*,"&amp;N21&amp;",*")=0,"",COUNTIF(B5:C5,N21)+COUNTIF(B5:C5,"*,"&amp;N21&amp;",*")+COUNTIF(E5:F5,N21)+COUNTIF(E5:F5,"*,"&amp;N21&amp;",*")+COUNTIF(H5:I5,N21)+COUNTIF(H5:I5,"*,"&amp;N21&amp;",*")+COUNTIF(K5:L5,N21)+COUNTIF(K5:L5,"*,"&amp;N21&amp;",*")+COUNTIF(N5:O5,N21)+COUNTIF(N5:O5,"*,"&amp;N21&amp;",*")+COUNTIF(B7:C7,N21)+COUNTIF(B7:C7,"*,"&amp;N21&amp;",*")+COUNTIF(E7:F7,N21)+COUNTIF(E7:F7,"*,"&amp;N21&amp;",*")+COUNTIF(H7:I7,N21)+COUNTIF(H7:I7,"*,"&amp;N21&amp;",*")+COUNTIF(K7:L7,N21)+COUNTIF(K7:L7,"*,"&amp;N21&amp;",*")+COUNTIF(N7:O7,N21)+COUNTIF(N7:O7,"*,"&amp;N21&amp;",*")+COUNTIF(B9:C9,N21)+COUNTIF(B9:C9,"*,"&amp;N21&amp;",*")+COUNTIF(E9:F9,N21)+COUNTIF(E9:F9,"*,"&amp;N21&amp;",*")+COUNTIF(H9:I9,N21)+COUNTIF(H9:I9,"*,"&amp;N21&amp;",*")+COUNTIF(K9:L9,N21)+COUNTIF(K9:L9,"*,"&amp;N21&amp;",*")+COUNTIF(N9:O9,N21)+COUNTIF(N9:O9,"*,"&amp;N21&amp;",*")+COUNTIF(B11:C11,N21)+COUNTIF(B11:C11,"*,"&amp;N21&amp;",*")+COUNTIF(E11:F11,N21)+COUNTIF(E11:F11,"*,"&amp;N21&amp;",*")+COUNTIF(H11:I11,N21)+COUNTIF(H11:I11,"*,"&amp;N21&amp;",*")+COUNTIF(K11:L11,N21)+COUNTIF(K11:L11,"*,"&amp;N21&amp;",*")+COUNTIF(N11:O11,N21)+COUNTIF(N11:O11,"*,"&amp;N21&amp;",*")+COUNTIF(B13:C13,N21)+COUNTIF(B13:C13,"*,"&amp;N21&amp;",*")+COUNTIF(E13:F13,N21)+COUNTIF(E13:F13,"*,"&amp;N21&amp;",*")+COUNTIF(H13:I13,N21)+COUNTIF(H13:I13,"*,"&amp;N21&amp;",*")+COUNTIF(K13:L13,N21)+COUNTIF(K13:L13,"*,"&amp;N21&amp;",*")+COUNTIF(N13:O13,N21)+COUNTIF(N13:O13,"*,"&amp;N21&amp;",*")+COUNTIF(B15:C15,N21)+COUNTIF(B15:C15,"*,"&amp;N21&amp;",*")+COUNTIF(E15:F15,N21)+COUNTIF(E15:F15,"*,"&amp;N21&amp;",*")+COUNTIF(H15:I15,N21)+COUNTIF(H15:I15,"*,"&amp;N21&amp;",*")+COUNTIF(K15:L15,N21)+COUNTIF(K15:L15,"*,"&amp;N21&amp;",*")+COUNTIF(N15:O15,N21)+COUNTIF(N15:O15,"*,"&amp;N21&amp;",*")+COUNTIF(B17:C17,N21)+COUNTIF(B17:C17,"*,"&amp;N21&amp;",*")+COUNTIF(E17:F17,N21)+COUNTIF(E17:F17,"*,"&amp;N21&amp;",*")+COUNTIF(H17:I17,N21)+COUNTIF(H17:I17,"*,"&amp;N21&amp;",*")+COUNTIF(K17:L17,N21)+COUNTIF(K17:L17,"*,"&amp;N21&amp;",*")+COUNTIF(N17:O17,N21)+COUNTIF(N17:O17,"*,"&amp;N21&amp;",*"))</f>
        <v/>
      </c>
      <c r="O24" s="21">
        <f>IF(COUNTIF(B5:C5,O21)+COUNTIF(B5:C5,"*,"&amp;O21&amp;",*")+COUNTIF(E5:F5,O21)+COUNTIF(E5:F5,"*,"&amp;O21&amp;",*")+COUNTIF(H5:I5,O21)+COUNTIF(H5:I5,"*,"&amp;O21&amp;",*")+COUNTIF(K5:L5,O21)+COUNTIF(K5:L5,"*,"&amp;O21&amp;",*")+COUNTIF(N5:O5,O21)+COUNTIF(N5:O5,"*,"&amp;O21&amp;",*")+COUNTIF(B7:C7,O21)+COUNTIF(B7:C7,"*,"&amp;O21&amp;",*")+COUNTIF(E7:F7,O21)+COUNTIF(E7:F7,"*,"&amp;O21&amp;",*")+COUNTIF(H7:I7,O21)+COUNTIF(H7:I7,"*,"&amp;O21&amp;",*")+COUNTIF(K7:L7,O21)+COUNTIF(K7:L7,"*,"&amp;O21&amp;",*")+COUNTIF(N7:O7,O21)+COUNTIF(N7:O7,"*,"&amp;O21&amp;",*")+COUNTIF(B9:C9,O21)+COUNTIF(B9:C9,"*,"&amp;O21&amp;",*")+COUNTIF(E9:F9,O21)+COUNTIF(E9:F9,"*,"&amp;O21&amp;",*")+COUNTIF(H9:I9,O21)+COUNTIF(H9:I9,"*,"&amp;O21&amp;",*")+COUNTIF(K9:L9,O21)+COUNTIF(K9:L9,"*,"&amp;O21&amp;",*")+COUNTIF(N9:O9,O21)+COUNTIF(N9:O9,"*,"&amp;O21&amp;",*")+COUNTIF(B11:C11,O21)+COUNTIF(B11:C11,"*,"&amp;O21&amp;",*")+COUNTIF(E11:F11,O21)+COUNTIF(E11:F11,"*,"&amp;O21&amp;",*")+COUNTIF(H11:I11,O21)+COUNTIF(H11:I11,"*,"&amp;O21&amp;",*")+COUNTIF(K11:L11,O21)+COUNTIF(K11:L11,"*,"&amp;O21&amp;",*")+COUNTIF(N11:O11,O21)+COUNTIF(N11:O11,"*,"&amp;O21&amp;",*")+COUNTIF(B13:C13,O21)+COUNTIF(B13:C13,"*,"&amp;O21&amp;",*")+COUNTIF(E13:F13,O21)+COUNTIF(E13:F13,"*,"&amp;O21&amp;",*")+COUNTIF(H13:I13,O21)+COUNTIF(H13:I13,"*,"&amp;O21&amp;",*")+COUNTIF(K13:L13,O21)+COUNTIF(K13:L13,"*,"&amp;O21&amp;",*")+COUNTIF(N13:O13,O21)+COUNTIF(N13:O13,"*,"&amp;O21&amp;",*")+COUNTIF(B15:C15,O21)+COUNTIF(B15:C15,"*,"&amp;O21&amp;",*")+COUNTIF(E15:F15,O21)+COUNTIF(E15:F15,"*,"&amp;O21&amp;",*")+COUNTIF(H15:I15,O21)+COUNTIF(H15:I15,"*,"&amp;O21&amp;",*")+COUNTIF(K15:L15,O21)+COUNTIF(K15:L15,"*,"&amp;O21&amp;",*")+COUNTIF(N15:O15,O21)+COUNTIF(N15:O15,"*,"&amp;O21&amp;",*")+COUNTIF(B17:C17,O21)+COUNTIF(B17:C17,"*,"&amp;O21&amp;",*")+COUNTIF(E17:F17,O21)+COUNTIF(E17:F17,"*,"&amp;O21&amp;",*")+COUNTIF(H17:I17,O21)+COUNTIF(H17:I17,"*,"&amp;O21&amp;",*")+COUNTIF(K17:L17,O21)+COUNTIF(K17:L17,"*,"&amp;O21&amp;",*")+COUNTIF(N17:O17,O21)+COUNTIF(N17:O17,"*,"&amp;O21&amp;",*")=0,"",COUNTIF(B5:C5,O21)+COUNTIF(B5:C5,"*,"&amp;O21&amp;",*")+COUNTIF(E5:F5,O21)+COUNTIF(E5:F5,"*,"&amp;O21&amp;",*")+COUNTIF(H5:I5,O21)+COUNTIF(H5:I5,"*,"&amp;O21&amp;",*")+COUNTIF(K5:L5,O21)+COUNTIF(K5:L5,"*,"&amp;O21&amp;",*")+COUNTIF(N5:O5,O21)+COUNTIF(N5:O5,"*,"&amp;O21&amp;",*")+COUNTIF(B7:C7,O21)+COUNTIF(B7:C7,"*,"&amp;O21&amp;",*")+COUNTIF(E7:F7,O21)+COUNTIF(E7:F7,"*,"&amp;O21&amp;",*")+COUNTIF(H7:I7,O21)+COUNTIF(H7:I7,"*,"&amp;O21&amp;",*")+COUNTIF(K7:L7,O21)+COUNTIF(K7:L7,"*,"&amp;O21&amp;",*")+COUNTIF(N7:O7,O21)+COUNTIF(N7:O7,"*,"&amp;O21&amp;",*")+COUNTIF(B9:C9,O21)+COUNTIF(B9:C9,"*,"&amp;O21&amp;",*")+COUNTIF(E9:F9,O21)+COUNTIF(E9:F9,"*,"&amp;O21&amp;",*")+COUNTIF(H9:I9,O21)+COUNTIF(H9:I9,"*,"&amp;O21&amp;",*")+COUNTIF(K9:L9,O21)+COUNTIF(K9:L9,"*,"&amp;O21&amp;",*")+COUNTIF(N9:O9,O21)+COUNTIF(N9:O9,"*,"&amp;O21&amp;",*")+COUNTIF(B11:C11,O21)+COUNTIF(B11:C11,"*,"&amp;O21&amp;",*")+COUNTIF(E11:F11,O21)+COUNTIF(E11:F11,"*,"&amp;O21&amp;",*")+COUNTIF(H11:I11,O21)+COUNTIF(H11:I11,"*,"&amp;O21&amp;",*")+COUNTIF(K11:L11,O21)+COUNTIF(K11:L11,"*,"&amp;O21&amp;",*")+COUNTIF(N11:O11,O21)+COUNTIF(N11:O11,"*,"&amp;O21&amp;",*")+COUNTIF(B13:C13,O21)+COUNTIF(B13:C13,"*,"&amp;O21&amp;",*")+COUNTIF(E13:F13,O21)+COUNTIF(E13:F13,"*,"&amp;O21&amp;",*")+COUNTIF(H13:I13,O21)+COUNTIF(H13:I13,"*,"&amp;O21&amp;",*")+COUNTIF(K13:L13,O21)+COUNTIF(K13:L13,"*,"&amp;O21&amp;",*")+COUNTIF(N13:O13,O21)+COUNTIF(N13:O13,"*,"&amp;O21&amp;",*")+COUNTIF(B15:C15,O21)+COUNTIF(B15:C15,"*,"&amp;O21&amp;",*")+COUNTIF(E15:F15,O21)+COUNTIF(E15:F15,"*,"&amp;O21&amp;",*")+COUNTIF(H15:I15,O21)+COUNTIF(H15:I15,"*,"&amp;O21&amp;",*")+COUNTIF(K15:L15,O21)+COUNTIF(K15:L15,"*,"&amp;O21&amp;",*")+COUNTIF(N15:O15,O21)+COUNTIF(N15:O15,"*,"&amp;O21&amp;",*")+COUNTIF(B17:C17,O21)+COUNTIF(B17:C17,"*,"&amp;O21&amp;",*")+COUNTIF(E17:F17,O21)+COUNTIF(E17:F17,"*,"&amp;O21&amp;",*")+COUNTIF(H17:I17,O21)+COUNTIF(H17:I17,"*,"&amp;O21&amp;",*")+COUNTIF(K17:L17,O21)+COUNTIF(K17:L17,"*,"&amp;O21&amp;",*")+COUNTIF(N17:O17,O21)+COUNTIF(N17:O17,"*,"&amp;O21&amp;",*"))</f>
        <v/>
      </c>
      <c r="P24" s="22">
        <f>IF(SUM(B24:O24)=0,"",SUM(B24:O24))</f>
        <v/>
      </c>
    </row>
    <row r="25" spans="1:16" ht="13.5" customHeight="1" x14ac:dyDescent="0.2">
      <c r="A25" s="23" t="s">
        <v>52</v>
      </c>
      <c r="B25" s="26"/>
      <c r="C25" s="26"/>
      <c r="D25" s="26"/>
      <c r="E25" s="26"/>
      <c r="F25" s="26"/>
      <c r="G25" s="26"/>
      <c r="H25" s="26"/>
      <c r="I25" s="26"/>
      <c r="J25" s="26"/>
      <c r="K25" s="26"/>
      <c r="L25" s="26"/>
      <c r="M25" s="26"/>
      <c r="N25" s="26"/>
      <c r="O25" s="24"/>
      <c r="P25" s="18">
        <f>IF(SUM(B25:O25)=0,"",SUM(B25:O25))</f>
        <v/>
      </c>
    </row>
  </sheetData>
  <sheetProtection sheet="1" objects="1" scenarios="1"/>
  <mergeCells count="104">
    <mergeCell ref="N19:P19"/>
    <mergeCell ref="A23:A24"/>
    <mergeCell ref="N17:O17"/>
    <mergeCell ref="B18:D18"/>
    <mergeCell ref="E18:G18"/>
    <mergeCell ref="H18:J18"/>
    <mergeCell ref="K18:M18"/>
    <mergeCell ref="N18:P18"/>
    <mergeCell ref="A17:A18"/>
    <mergeCell ref="B17:C17"/>
    <mergeCell ref="E17:F17"/>
    <mergeCell ref="H17:I17"/>
    <mergeCell ref="K17:L17"/>
    <mergeCell ref="B19:D19"/>
    <mergeCell ref="E19:G19"/>
    <mergeCell ref="H19:J19"/>
    <mergeCell ref="K19:M19"/>
    <mergeCell ref="A15:A16"/>
    <mergeCell ref="B15:C15"/>
    <mergeCell ref="E15:F15"/>
    <mergeCell ref="H15:I15"/>
    <mergeCell ref="K15:L15"/>
    <mergeCell ref="N15:O15"/>
    <mergeCell ref="B16:D16"/>
    <mergeCell ref="E16:G16"/>
    <mergeCell ref="H16:J16"/>
    <mergeCell ref="K16:M16"/>
    <mergeCell ref="N16:P16"/>
    <mergeCell ref="A13:A14"/>
    <mergeCell ref="B13:C13"/>
    <mergeCell ref="E13:F13"/>
    <mergeCell ref="H13:I13"/>
    <mergeCell ref="K13:L13"/>
    <mergeCell ref="N13:O13"/>
    <mergeCell ref="B14:D14"/>
    <mergeCell ref="E14:G14"/>
    <mergeCell ref="H14:J14"/>
    <mergeCell ref="K14:M14"/>
    <mergeCell ref="N14:P14"/>
    <mergeCell ref="A11:A12"/>
    <mergeCell ref="B11:C11"/>
    <mergeCell ref="E11:F11"/>
    <mergeCell ref="H11:I11"/>
    <mergeCell ref="K11:L11"/>
    <mergeCell ref="N11:O11"/>
    <mergeCell ref="B12:D12"/>
    <mergeCell ref="E12:G12"/>
    <mergeCell ref="H12:J12"/>
    <mergeCell ref="K12:M12"/>
    <mergeCell ref="N12:P12"/>
    <mergeCell ref="N8:P8"/>
    <mergeCell ref="A9:A10"/>
    <mergeCell ref="B9:C9"/>
    <mergeCell ref="E9:F9"/>
    <mergeCell ref="H9:I9"/>
    <mergeCell ref="K9:L9"/>
    <mergeCell ref="N9:O9"/>
    <mergeCell ref="B10:D10"/>
    <mergeCell ref="E10:G10"/>
    <mergeCell ref="H10:J10"/>
    <mergeCell ref="A7:A8"/>
    <mergeCell ref="B7:C7"/>
    <mergeCell ref="E7:F7"/>
    <mergeCell ref="H7:I7"/>
    <mergeCell ref="K7:L7"/>
    <mergeCell ref="N7:O7"/>
    <mergeCell ref="B8:D8"/>
    <mergeCell ref="E8:G8"/>
    <mergeCell ref="H8:J8"/>
    <mergeCell ref="K8:M8"/>
    <mergeCell ref="K10:M10"/>
    <mergeCell ref="N10:P10"/>
    <mergeCell ref="A5:A6"/>
    <mergeCell ref="B5:C5"/>
    <mergeCell ref="E5:F5"/>
    <mergeCell ref="H5:I5"/>
    <mergeCell ref="K5:L5"/>
    <mergeCell ref="N2:P2"/>
    <mergeCell ref="B3:D3"/>
    <mergeCell ref="E3:G3"/>
    <mergeCell ref="H3:J3"/>
    <mergeCell ref="K3:M3"/>
    <mergeCell ref="N3:P3"/>
    <mergeCell ref="N5:O5"/>
    <mergeCell ref="B6:D6"/>
    <mergeCell ref="E6:G6"/>
    <mergeCell ref="H6:J6"/>
    <mergeCell ref="K6:M6"/>
    <mergeCell ref="N6:P6"/>
    <mergeCell ref="B4:D4"/>
    <mergeCell ref="E4:G4"/>
    <mergeCell ref="H4:J4"/>
    <mergeCell ref="K4:M4"/>
    <mergeCell ref="N4:P4"/>
    <mergeCell ref="A1:G1"/>
    <mergeCell ref="I1:J1"/>
    <mergeCell ref="K1:L1"/>
    <mergeCell ref="M1:N1"/>
    <mergeCell ref="O1:P1"/>
    <mergeCell ref="A2:A3"/>
    <mergeCell ref="B2:D2"/>
    <mergeCell ref="E2:G2"/>
    <mergeCell ref="H2:J2"/>
    <mergeCell ref="K2:M2"/>
  </mergeCells>
  <phoneticPr fontId="5"/>
  <dataValidations count="1">
    <dataValidation type="list" allowBlank="1" showInputMessage="1" sqref="D5 P17 M17 J17 G17 D17 P15 M15 J15 G15 D15 P13 M13 J13 G13 D13 P11 M11 J11 G11 D11 P9 M9 J9 G9 D9 P7 M7 J7 G7 D7 P5 M5 J5 G5" xr:uid="{560F7A7D-9CBC-4C19-ADC2-94EC98F23170}">
      <formula1>"×,月1,月2,月3,月4,月5,月6,月7,火1,火2,火3,火4,火5,火6,火7,水1,水2,水3,水4,水5,水6,水7,木1,木2,木3,木4,木5,木6,木7,金1,金2,金3,金4,金5,金6,金7"</formula1>
    </dataValidation>
  </dataValidations>
  <printOptions horizontalCentered="1"/>
  <pageMargins left="0.78740157480314965" right="0.78740157480314965" top="0.78740157480314965" bottom="0.78740157480314965" header="0" footer="0"/>
  <pageSetup paperSize="9" scale="93"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tn_0">
              <controlPr defaultSize="0" print="0" autoFill="0" autoPict="0" macro="[0]!ボタン_新しい週">
                <anchor moveWithCells="1" sizeWithCells="1">
                  <from>
                    <xdr:col>17</xdr:col>
                    <xdr:colOff>60960</xdr:colOff>
                    <xdr:row>3</xdr:row>
                    <xdr:rowOff>30480</xdr:rowOff>
                  </from>
                  <to>
                    <xdr:col>18</xdr:col>
                    <xdr:colOff>533400</xdr:colOff>
                    <xdr:row>3</xdr:row>
                    <xdr:rowOff>335280</xdr:rowOff>
                  </to>
                </anchor>
              </controlPr>
            </control>
          </mc:Choice>
        </mc:AlternateContent>
        <mc:AlternateContent xmlns:mc="http://schemas.openxmlformats.org/markup-compatibility/2006">
          <mc:Choice Requires="x14">
            <control shapeId="12290" r:id="rId5" name="Btn_1">
              <controlPr defaultSize="0" print="0" autoFill="0" autoPict="0" macro="[0]!ボタン_時間割展開">
                <anchor moveWithCells="1" sizeWithCells="1">
                  <from>
                    <xdr:col>17</xdr:col>
                    <xdr:colOff>60960</xdr:colOff>
                    <xdr:row>3</xdr:row>
                    <xdr:rowOff>441960</xdr:rowOff>
                  </from>
                  <to>
                    <xdr:col>18</xdr:col>
                    <xdr:colOff>533400</xdr:colOff>
                    <xdr:row>4</xdr:row>
                    <xdr:rowOff>45720</xdr:rowOff>
                  </to>
                </anchor>
              </controlPr>
            </control>
          </mc:Choice>
        </mc:AlternateContent>
        <mc:AlternateContent xmlns:mc="http://schemas.openxmlformats.org/markup-compatibility/2006">
          <mc:Choice Requires="x14">
            <control shapeId="12291" r:id="rId6" name="Btn_2">
              <controlPr defaultSize="0" print="0" autoFill="0" autoPict="0" macro="[0]!ボタン_累計更新">
                <anchor moveWithCells="1" sizeWithCells="1">
                  <from>
                    <xdr:col>17</xdr:col>
                    <xdr:colOff>60960</xdr:colOff>
                    <xdr:row>4</xdr:row>
                    <xdr:rowOff>144780</xdr:rowOff>
                  </from>
                  <to>
                    <xdr:col>18</xdr:col>
                    <xdr:colOff>533400</xdr:colOff>
                    <xdr:row>5</xdr:row>
                    <xdr:rowOff>220980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xr:uid="{90F6B962-7B43-4DD3-8D6E-D403BCE5ADF5}">
          <x14:formula1>
            <xm:f>基本設定!$B$6:$B$20</xm:f>
          </x14:formula1>
          <xm:sqref>B5 N19 K19 H19 E19 B19 N17 K17 H17 E17 B17 N15 K15 H15 E15 B15 N13 K13 H13 E13 B13 N11 K11 H11 E11 B11 N9 K9 H9 E9 B9 N7 K7 H7 E7 B7 N5 K5 H5 E5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AB21C1-33A5-4F15-B4FD-C9C36F7DF2E8}">
  <sheetPr codeName="Sheet9">
    <tabColor rgb="FFC0392B"/>
    <pageSetUpPr fitToPage="1"/>
  </sheetPr>
  <dimension ref="A1:P25"/>
  <sheetViews>
    <sheetView topLeftCell="A14" workbookViewId="0">
      <selection sqref="A1:G1"/>
    </sheetView>
  </sheetViews>
  <sheetFormatPr defaultColWidth="8.77734375" defaultRowHeight="13.2" x14ac:dyDescent="0.2"/>
  <cols>
    <col min="1" max="1" width="5.44140625" customWidth="1"/>
    <col min="2" max="16" width="5.77734375" customWidth="1"/>
  </cols>
  <sheetData>
    <row r="1" spans="1:16" ht="50.1" customHeight="1" x14ac:dyDescent="0.2">
      <c r="A1" s="51" t="s">
        <v>34</v>
      </c>
      <c r="B1" s="52"/>
      <c r="C1" s="52"/>
      <c r="D1" s="52"/>
      <c r="E1" s="52"/>
      <c r="F1" s="52"/>
      <c r="G1" s="52"/>
      <c r="H1" s="8" t="s">
        <v>35</v>
      </c>
      <c r="I1" s="53" t="s">
        <v>36</v>
      </c>
      <c r="J1" s="54"/>
      <c r="K1" s="53" t="s">
        <v>37</v>
      </c>
      <c r="L1" s="54"/>
      <c r="M1" s="53" t="s">
        <v>38</v>
      </c>
      <c r="N1" s="54"/>
      <c r="O1" s="53" t="s">
        <v>39</v>
      </c>
      <c r="P1" s="54"/>
    </row>
    <row r="2" spans="1:16" ht="15.6" customHeight="1" x14ac:dyDescent="0.2">
      <c r="A2" s="55" t="s">
        <v>40</v>
      </c>
      <c r="B2" s="57" t="s">
        <v>29</v>
      </c>
      <c r="C2" s="57"/>
      <c r="D2" s="57"/>
      <c r="E2" s="59" t="s">
        <v>30</v>
      </c>
      <c r="F2" s="59"/>
      <c r="G2" s="59"/>
      <c r="H2" s="45" t="s">
        <v>31</v>
      </c>
      <c r="I2" s="45"/>
      <c r="J2" s="45"/>
      <c r="K2" s="47" t="s">
        <v>32</v>
      </c>
      <c r="L2" s="47"/>
      <c r="M2" s="47"/>
      <c r="N2" s="49" t="s">
        <v>33</v>
      </c>
      <c r="O2" s="49"/>
      <c r="P2" s="49"/>
    </row>
    <row r="3" spans="1:16" ht="15" customHeight="1" x14ac:dyDescent="0.2">
      <c r="A3" s="56"/>
      <c r="B3" s="58" t="s">
        <v>41</v>
      </c>
      <c r="C3" s="58"/>
      <c r="D3" s="58"/>
      <c r="E3" s="60" t="s">
        <v>42</v>
      </c>
      <c r="F3" s="60"/>
      <c r="G3" s="60"/>
      <c r="H3" s="46" t="s">
        <v>43</v>
      </c>
      <c r="I3" s="46"/>
      <c r="J3" s="46"/>
      <c r="K3" s="48" t="s">
        <v>44</v>
      </c>
      <c r="L3" s="48"/>
      <c r="M3" s="48"/>
      <c r="N3" s="50" t="s">
        <v>45</v>
      </c>
      <c r="O3" s="50"/>
      <c r="P3" s="50"/>
    </row>
    <row r="4" spans="1:16" ht="54.9" customHeight="1" x14ac:dyDescent="0.2">
      <c r="A4" s="9" t="s">
        <v>46</v>
      </c>
      <c r="B4" s="40"/>
      <c r="C4" s="40"/>
      <c r="D4" s="40"/>
      <c r="E4" s="41"/>
      <c r="F4" s="41"/>
      <c r="G4" s="41"/>
      <c r="H4" s="42"/>
      <c r="I4" s="42"/>
      <c r="J4" s="42"/>
      <c r="K4" s="43"/>
      <c r="L4" s="43"/>
      <c r="M4" s="43"/>
      <c r="N4" s="44"/>
      <c r="O4" s="44"/>
      <c r="P4" s="44"/>
    </row>
    <row r="5" spans="1:16" ht="18" customHeight="1" x14ac:dyDescent="0.2">
      <c r="A5" s="39">
        <v>1</v>
      </c>
      <c r="B5" s="37"/>
      <c r="C5" s="37"/>
      <c r="D5" s="25"/>
      <c r="E5" s="37"/>
      <c r="F5" s="37"/>
      <c r="G5" s="25"/>
      <c r="H5" s="37"/>
      <c r="I5" s="37"/>
      <c r="J5" s="25"/>
      <c r="K5" s="37"/>
      <c r="L5" s="37"/>
      <c r="M5" s="25"/>
      <c r="N5" s="37"/>
      <c r="O5" s="37"/>
      <c r="P5" s="25"/>
    </row>
    <row r="6" spans="1:16" ht="62.1" customHeight="1" x14ac:dyDescent="0.2">
      <c r="A6" s="39"/>
      <c r="B6" s="38"/>
      <c r="C6" s="38"/>
      <c r="D6" s="38"/>
      <c r="E6" s="38"/>
      <c r="F6" s="38"/>
      <c r="G6" s="38"/>
      <c r="H6" s="38"/>
      <c r="I6" s="38"/>
      <c r="J6" s="38"/>
      <c r="K6" s="38"/>
      <c r="L6" s="38"/>
      <c r="M6" s="38"/>
      <c r="N6" s="38"/>
      <c r="O6" s="38"/>
      <c r="P6" s="38"/>
    </row>
    <row r="7" spans="1:16" ht="18" customHeight="1" x14ac:dyDescent="0.2">
      <c r="A7" s="39">
        <v>2</v>
      </c>
      <c r="B7" s="37"/>
      <c r="C7" s="37"/>
      <c r="D7" s="25"/>
      <c r="E7" s="37"/>
      <c r="F7" s="37"/>
      <c r="G7" s="25"/>
      <c r="H7" s="37"/>
      <c r="I7" s="37"/>
      <c r="J7" s="25"/>
      <c r="K7" s="37"/>
      <c r="L7" s="37"/>
      <c r="M7" s="25"/>
      <c r="N7" s="37"/>
      <c r="O7" s="37"/>
      <c r="P7" s="25"/>
    </row>
    <row r="8" spans="1:16" ht="62.1" customHeight="1" x14ac:dyDescent="0.2">
      <c r="A8" s="39"/>
      <c r="B8" s="38"/>
      <c r="C8" s="38"/>
      <c r="D8" s="38"/>
      <c r="E8" s="38"/>
      <c r="F8" s="38"/>
      <c r="G8" s="38"/>
      <c r="H8" s="38"/>
      <c r="I8" s="38"/>
      <c r="J8" s="38"/>
      <c r="K8" s="38"/>
      <c r="L8" s="38"/>
      <c r="M8" s="38"/>
      <c r="N8" s="38"/>
      <c r="O8" s="38"/>
      <c r="P8" s="38"/>
    </row>
    <row r="9" spans="1:16" ht="18" customHeight="1" x14ac:dyDescent="0.2">
      <c r="A9" s="39">
        <v>3</v>
      </c>
      <c r="B9" s="37"/>
      <c r="C9" s="37"/>
      <c r="D9" s="25"/>
      <c r="E9" s="37"/>
      <c r="F9" s="37"/>
      <c r="G9" s="25"/>
      <c r="H9" s="37"/>
      <c r="I9" s="37"/>
      <c r="J9" s="25"/>
      <c r="K9" s="37"/>
      <c r="L9" s="37"/>
      <c r="M9" s="25"/>
      <c r="N9" s="37"/>
      <c r="O9" s="37"/>
      <c r="P9" s="25"/>
    </row>
    <row r="10" spans="1:16" ht="62.1" customHeight="1" x14ac:dyDescent="0.2">
      <c r="A10" s="39"/>
      <c r="B10" s="38"/>
      <c r="C10" s="38"/>
      <c r="D10" s="38"/>
      <c r="E10" s="38"/>
      <c r="F10" s="38"/>
      <c r="G10" s="38"/>
      <c r="H10" s="38"/>
      <c r="I10" s="38"/>
      <c r="J10" s="38"/>
      <c r="K10" s="38"/>
      <c r="L10" s="38"/>
      <c r="M10" s="38"/>
      <c r="N10" s="38"/>
      <c r="O10" s="38"/>
      <c r="P10" s="38"/>
    </row>
    <row r="11" spans="1:16" ht="18" customHeight="1" x14ac:dyDescent="0.2">
      <c r="A11" s="39">
        <v>4</v>
      </c>
      <c r="B11" s="37"/>
      <c r="C11" s="37"/>
      <c r="D11" s="25"/>
      <c r="E11" s="37"/>
      <c r="F11" s="37"/>
      <c r="G11" s="25"/>
      <c r="H11" s="37"/>
      <c r="I11" s="37"/>
      <c r="J11" s="25"/>
      <c r="K11" s="37"/>
      <c r="L11" s="37"/>
      <c r="M11" s="25"/>
      <c r="N11" s="37"/>
      <c r="O11" s="37"/>
      <c r="P11" s="25"/>
    </row>
    <row r="12" spans="1:16" ht="62.1" customHeight="1" x14ac:dyDescent="0.2">
      <c r="A12" s="39"/>
      <c r="B12" s="38"/>
      <c r="C12" s="38"/>
      <c r="D12" s="38"/>
      <c r="E12" s="38"/>
      <c r="F12" s="38"/>
      <c r="G12" s="38"/>
      <c r="H12" s="38"/>
      <c r="I12" s="38"/>
      <c r="J12" s="38"/>
      <c r="K12" s="38"/>
      <c r="L12" s="38"/>
      <c r="M12" s="38"/>
      <c r="N12" s="38"/>
      <c r="O12" s="38"/>
      <c r="P12" s="38"/>
    </row>
    <row r="13" spans="1:16" ht="18" customHeight="1" x14ac:dyDescent="0.2">
      <c r="A13" s="39">
        <v>5</v>
      </c>
      <c r="B13" s="37"/>
      <c r="C13" s="37"/>
      <c r="D13" s="25"/>
      <c r="E13" s="37"/>
      <c r="F13" s="37"/>
      <c r="G13" s="25"/>
      <c r="H13" s="37"/>
      <c r="I13" s="37"/>
      <c r="J13" s="25"/>
      <c r="K13" s="37"/>
      <c r="L13" s="37"/>
      <c r="M13" s="25"/>
      <c r="N13" s="37"/>
      <c r="O13" s="37"/>
      <c r="P13" s="25"/>
    </row>
    <row r="14" spans="1:16" ht="62.1" customHeight="1" x14ac:dyDescent="0.2">
      <c r="A14" s="39"/>
      <c r="B14" s="38"/>
      <c r="C14" s="38"/>
      <c r="D14" s="38"/>
      <c r="E14" s="38"/>
      <c r="F14" s="38"/>
      <c r="G14" s="38"/>
      <c r="H14" s="38"/>
      <c r="I14" s="38"/>
      <c r="J14" s="38"/>
      <c r="K14" s="38"/>
      <c r="L14" s="38"/>
      <c r="M14" s="38"/>
      <c r="N14" s="38"/>
      <c r="O14" s="38"/>
      <c r="P14" s="38"/>
    </row>
    <row r="15" spans="1:16" ht="18" customHeight="1" x14ac:dyDescent="0.2">
      <c r="A15" s="39">
        <v>6</v>
      </c>
      <c r="B15" s="37"/>
      <c r="C15" s="37"/>
      <c r="D15" s="25"/>
      <c r="E15" s="37"/>
      <c r="F15" s="37"/>
      <c r="G15" s="25"/>
      <c r="H15" s="37"/>
      <c r="I15" s="37"/>
      <c r="J15" s="25"/>
      <c r="K15" s="37"/>
      <c r="L15" s="37"/>
      <c r="M15" s="25"/>
      <c r="N15" s="37"/>
      <c r="O15" s="37"/>
      <c r="P15" s="25"/>
    </row>
    <row r="16" spans="1:16" ht="62.1" customHeight="1" x14ac:dyDescent="0.2">
      <c r="A16" s="39"/>
      <c r="B16" s="38"/>
      <c r="C16" s="38"/>
      <c r="D16" s="38"/>
      <c r="E16" s="38"/>
      <c r="F16" s="38"/>
      <c r="G16" s="38"/>
      <c r="H16" s="38"/>
      <c r="I16" s="38"/>
      <c r="J16" s="38"/>
      <c r="K16" s="38"/>
      <c r="L16" s="38"/>
      <c r="M16" s="38"/>
      <c r="N16" s="38"/>
      <c r="O16" s="38"/>
      <c r="P16" s="38"/>
    </row>
    <row r="17" spans="1:16" ht="18" customHeight="1" x14ac:dyDescent="0.2">
      <c r="A17" s="39">
        <v>7</v>
      </c>
      <c r="B17" s="37"/>
      <c r="C17" s="37"/>
      <c r="D17" s="25"/>
      <c r="E17" s="37"/>
      <c r="F17" s="37"/>
      <c r="G17" s="25"/>
      <c r="H17" s="37"/>
      <c r="I17" s="37"/>
      <c r="J17" s="25"/>
      <c r="K17" s="37"/>
      <c r="L17" s="37"/>
      <c r="M17" s="25"/>
      <c r="N17" s="37"/>
      <c r="O17" s="37"/>
      <c r="P17" s="25"/>
    </row>
    <row r="18" spans="1:16" ht="62.1" customHeight="1" x14ac:dyDescent="0.2">
      <c r="A18" s="39"/>
      <c r="B18" s="38"/>
      <c r="C18" s="38"/>
      <c r="D18" s="38"/>
      <c r="E18" s="38"/>
      <c r="F18" s="38"/>
      <c r="G18" s="38"/>
      <c r="H18" s="38"/>
      <c r="I18" s="38"/>
      <c r="J18" s="38"/>
      <c r="K18" s="38"/>
      <c r="L18" s="38"/>
      <c r="M18" s="38"/>
      <c r="N18" s="38"/>
      <c r="O18" s="38"/>
      <c r="P18" s="38"/>
    </row>
    <row r="19" spans="1:16" ht="54.9" customHeight="1" x14ac:dyDescent="0.2">
      <c r="A19" s="10" t="s">
        <v>47</v>
      </c>
      <c r="B19" s="34"/>
      <c r="C19" s="34"/>
      <c r="D19" s="34"/>
      <c r="E19" s="34"/>
      <c r="F19" s="34"/>
      <c r="G19" s="34"/>
      <c r="H19" s="34"/>
      <c r="I19" s="34"/>
      <c r="J19" s="34"/>
      <c r="K19" s="34"/>
      <c r="L19" s="34"/>
      <c r="M19" s="34"/>
      <c r="N19" s="34"/>
      <c r="O19" s="34"/>
      <c r="P19" s="34"/>
    </row>
    <row r="20" spans="1:16" hidden="1" x14ac:dyDescent="0.2">
      <c r="A20" s="11"/>
      <c r="B20" s="11"/>
      <c r="C20" s="11"/>
      <c r="D20" s="11"/>
      <c r="E20" s="11"/>
      <c r="F20" s="11"/>
      <c r="G20" s="11"/>
      <c r="H20" s="11"/>
      <c r="I20" s="11"/>
      <c r="J20" s="11"/>
      <c r="K20" s="11"/>
      <c r="L20" s="11"/>
      <c r="M20" s="11"/>
      <c r="N20" s="11"/>
      <c r="O20" s="11"/>
      <c r="P20" s="11"/>
    </row>
    <row r="21" spans="1:16" ht="13.5" customHeight="1" x14ac:dyDescent="0.2">
      <c r="A21" s="12" t="s">
        <v>48</v>
      </c>
      <c r="B21" s="12">
        <f>IF(基本設定!B6="","",基本設定!B6)</f>
      </c>
      <c r="C21" s="12">
        <f>IF(基本設定!B7="","",基本設定!B7)</f>
      </c>
      <c r="D21" s="12">
        <f>IF(基本設定!B8="","",基本設定!B8)</f>
      </c>
      <c r="E21" s="12">
        <f>IF(基本設定!B9="","",基本設定!B9)</f>
      </c>
      <c r="F21" s="12">
        <f>IF(基本設定!B10="","",基本設定!B10)</f>
      </c>
      <c r="G21" s="12">
        <f>IF(基本設定!B11="","",基本設定!B11)</f>
      </c>
      <c r="H21" s="12"/>
      <c r="I21" s="12"/>
      <c r="J21" s="12"/>
      <c r="K21" s="12"/>
      <c r="L21" s="12"/>
      <c r="M21" s="13" t="s">
        <v>53</v>
      </c>
      <c r="N21" s="12" t="s">
        <v>20</v>
      </c>
      <c r="O21" s="12" t="s">
        <v>22</v>
      </c>
      <c r="P21" s="14" t="s">
        <v>49</v>
      </c>
    </row>
    <row r="22" spans="1:16" ht="13.5" customHeight="1" x14ac:dyDescent="0.2">
      <c r="A22" s="15" t="s">
        <v>50</v>
      </c>
      <c r="B22" s="16">
        <f>IF(B21="","",IFERROR(VALUE(VLOOKUP(B21,基本設定!$A$23:$B$35,2,FALSE())),""))</f>
      </c>
      <c r="C22" s="16">
        <f>IF(C21="","",IFERROR(VALUE(VLOOKUP(C21,基本設定!$A$23:$B$35,2,FALSE())),""))</f>
      </c>
      <c r="D22" s="16">
        <f>IF(D21="","",IFERROR(VALUE(VLOOKUP(D21,基本設定!$A$23:$B$35,2,FALSE())),""))</f>
      </c>
      <c r="E22" s="16">
        <f>IF(E21="","",IFERROR(VALUE(VLOOKUP(E21,基本設定!$A$23:$B$35,2,FALSE())),""))</f>
      </c>
      <c r="F22" s="16">
        <f>IF(F21="","",IFERROR(VALUE(VLOOKUP(F21,基本設定!$A$23:$B$35,2,FALSE())),""))</f>
      </c>
      <c r="G22" s="16">
        <f>IF(G21="","",IFERROR(VALUE(VLOOKUP(G21,基本設定!$A$23:$B$35,2,FALSE())),""))</f>
      </c>
      <c r="H22" s="17"/>
      <c r="I22" s="17"/>
      <c r="J22" s="17"/>
      <c r="K22" s="17"/>
      <c r="L22" s="17"/>
      <c r="M22" s="17">
        <v>1</v>
      </c>
      <c r="N22" s="17">
        <f>IF(N21="","",IFERROR(VALUE(VLOOKUP(N21,基本設定!$A$23:$B$35,2,FALSE())),""))</f>
      </c>
      <c r="O22" s="17">
        <f>IF(O21="","",IFERROR(VALUE(VLOOKUP(O21,基本設定!$A$23:$B$35,2,FALSE())),""))</f>
      </c>
      <c r="P22" s="18">
        <f>IF(SUM(B22:O22)=0,"",SUM(B22:O22))</f>
      </c>
    </row>
    <row r="23" spans="1:16" ht="13.5" customHeight="1" x14ac:dyDescent="0.2">
      <c r="A23" s="35" t="s">
        <v>51</v>
      </c>
      <c r="B23" s="19">
        <f>IF(B21="","",IF(B24="","",B24-(SUMPRODUCT((B5:C5=B21)*(D5="×"))+SUMPRODUCT((E5:F5=B21)*(G5="×"))+SUMPRODUCT((H5:I5=B21)*(J5="×"))+SUMPRODUCT((K5:L5=B21)*(M5="×"))+SUMPRODUCT((N5:O5=B21)*(P5="×"))+SUMPRODUCT((B7:C7=B21)*(D7="×"))+SUMPRODUCT((E7:F7=B21)*(G7="×"))+SUMPRODUCT((H7:I7=B21)*(J7="×"))+SUMPRODUCT((K7:L7=B21)*(M7="×"))+SUMPRODUCT((N7:O7=B21)*(P7="×"))+SUMPRODUCT((B9:C9=B21)*(D9="×"))+SUMPRODUCT((E9:F9=B21)*(G9="×"))+SUMPRODUCT((H9:I9=B21)*(J9="×"))+SUMPRODUCT((K9:L9=B21)*(M9="×"))+SUMPRODUCT((N9:O9=B21)*(P9="×"))+SUMPRODUCT((B11:C11=B21)*(D11="×"))+SUMPRODUCT((E11:F11=B21)*(G11="×"))+SUMPRODUCT((H11:I11=B21)*(J11="×"))+SUMPRODUCT((K11:L11=B21)*(M11="×"))+SUMPRODUCT((N11:O11=B21)*(P11="×"))+SUMPRODUCT((B13:C13=B21)*(D13="×"))+SUMPRODUCT((E13:F13=B21)*(G13="×"))+SUMPRODUCT((H13:I13=B21)*(J13="×"))+SUMPRODUCT((K13:L13=B21)*(M13="×"))+SUMPRODUCT((N13:O13=B21)*(P13="×"))+SUMPRODUCT((B15:C15=B21)*(D15="×"))+SUMPRODUCT((E15:F15=B21)*(G15="×"))+SUMPRODUCT((H15:I15=B21)*(J15="×"))+SUMPRODUCT((K15:L15=B21)*(M15="×"))+SUMPRODUCT((N15:O15=B21)*(P15="×"))+SUMPRODUCT((B17:C17=B21)*(D17="×"))+SUMPRODUCT((E17:F17=B21)*(G17="×"))+SUMPRODUCT((H17:I17=B21)*(J17="×"))+SUMPRODUCT((K17:L17=B21)*(M17="×"))+SUMPRODUCT((N17:O17=B21)*(P17="×")))))</f>
        <v/>
      </c>
      <c r="C23" s="19">
        <f>IF(C21="","",IF(C24="","",C24-(SUMPRODUCT((B5:C5=C21)*(D5="×"))+SUMPRODUCT((E5:F5=C21)*(G5="×"))+SUMPRODUCT((H5:I5=C21)*(J5="×"))+SUMPRODUCT((K5:L5=C21)*(M5="×"))+SUMPRODUCT((N5:O5=C21)*(P5="×"))+SUMPRODUCT((B7:C7=C21)*(D7="×"))+SUMPRODUCT((E7:F7=C21)*(G7="×"))+SUMPRODUCT((H7:I7=C21)*(J7="×"))+SUMPRODUCT((K7:L7=C21)*(M7="×"))+SUMPRODUCT((N7:O7=C21)*(P7="×"))+SUMPRODUCT((B9:C9=C21)*(D9="×"))+SUMPRODUCT((E9:F9=C21)*(G9="×"))+SUMPRODUCT((H9:I9=C21)*(J9="×"))+SUMPRODUCT((K9:L9=C21)*(M9="×"))+SUMPRODUCT((N9:O9=C21)*(P9="×"))+SUMPRODUCT((B11:C11=C21)*(D11="×"))+SUMPRODUCT((E11:F11=C21)*(G11="×"))+SUMPRODUCT((H11:I11=C21)*(J11="×"))+SUMPRODUCT((K11:L11=C21)*(M11="×"))+SUMPRODUCT((N11:O11=C21)*(P11="×"))+SUMPRODUCT((B13:C13=C21)*(D13="×"))+SUMPRODUCT((E13:F13=C21)*(G13="×"))+SUMPRODUCT((H13:I13=C21)*(J13="×"))+SUMPRODUCT((K13:L13=C21)*(M13="×"))+SUMPRODUCT((N13:O13=C21)*(P13="×"))+SUMPRODUCT((B15:C15=C21)*(D15="×"))+SUMPRODUCT((E15:F15=C21)*(G15="×"))+SUMPRODUCT((H15:I15=C21)*(J15="×"))+SUMPRODUCT((K15:L15=C21)*(M15="×"))+SUMPRODUCT((N15:O15=C21)*(P15="×"))+SUMPRODUCT((B17:C17=C21)*(D17="×"))+SUMPRODUCT((E17:F17=C21)*(G17="×"))+SUMPRODUCT((H17:I17=C21)*(J17="×"))+SUMPRODUCT((K17:L17=C21)*(M17="×"))+SUMPRODUCT((N17:O17=C21)*(P17="×")))))</f>
        <v/>
      </c>
      <c r="D23" s="19">
        <f>IF(D21="","",IF(D24="","",D24-(SUMPRODUCT((B5:C5=D21)*(D5="×"))+SUMPRODUCT((E5:F5=D21)*(G5="×"))+SUMPRODUCT((H5:I5=D21)*(J5="×"))+SUMPRODUCT((K5:L5=D21)*(M5="×"))+SUMPRODUCT((N5:O5=D21)*(P5="×"))+SUMPRODUCT((B7:C7=D21)*(D7="×"))+SUMPRODUCT((E7:F7=D21)*(G7="×"))+SUMPRODUCT((H7:I7=D21)*(J7="×"))+SUMPRODUCT((K7:L7=D21)*(M7="×"))+SUMPRODUCT((N7:O7=D21)*(P7="×"))+SUMPRODUCT((B9:C9=D21)*(D9="×"))+SUMPRODUCT((E9:F9=D21)*(G9="×"))+SUMPRODUCT((H9:I9=D21)*(J9="×"))+SUMPRODUCT((K9:L9=D21)*(M9="×"))+SUMPRODUCT((N9:O9=D21)*(P9="×"))+SUMPRODUCT((B11:C11=D21)*(D11="×"))+SUMPRODUCT((E11:F11=D21)*(G11="×"))+SUMPRODUCT((H11:I11=D21)*(J11="×"))+SUMPRODUCT((K11:L11=D21)*(M11="×"))+SUMPRODUCT((N11:O11=D21)*(P11="×"))+SUMPRODUCT((B13:C13=D21)*(D13="×"))+SUMPRODUCT((E13:F13=D21)*(G13="×"))+SUMPRODUCT((H13:I13=D21)*(J13="×"))+SUMPRODUCT((K13:L13=D21)*(M13="×"))+SUMPRODUCT((N13:O13=D21)*(P13="×"))+SUMPRODUCT((B15:C15=D21)*(D15="×"))+SUMPRODUCT((E15:F15=D21)*(G15="×"))+SUMPRODUCT((H15:I15=D21)*(J15="×"))+SUMPRODUCT((K15:L15=D21)*(M15="×"))+SUMPRODUCT((N15:O15=D21)*(P15="×"))+SUMPRODUCT((B17:C17=D21)*(D17="×"))+SUMPRODUCT((E17:F17=D21)*(G17="×"))+SUMPRODUCT((H17:I17=D21)*(J17="×"))+SUMPRODUCT((K17:L17=D21)*(M17="×"))+SUMPRODUCT((N17:O17=D21)*(P17="×")))))</f>
        <v/>
      </c>
      <c r="E23" s="19">
        <f>IF(E21="","",IF(E24="","",E24-(SUMPRODUCT((B5:C5=E21)*(D5="×"))+SUMPRODUCT((E5:F5=E21)*(G5="×"))+SUMPRODUCT((H5:I5=E21)*(J5="×"))+SUMPRODUCT((K5:L5=E21)*(M5="×"))+SUMPRODUCT((N5:O5=E21)*(P5="×"))+SUMPRODUCT((B7:C7=E21)*(D7="×"))+SUMPRODUCT((E7:F7=E21)*(G7="×"))+SUMPRODUCT((H7:I7=E21)*(J7="×"))+SUMPRODUCT((K7:L7=E21)*(M7="×"))+SUMPRODUCT((N7:O7=E21)*(P7="×"))+SUMPRODUCT((B9:C9=E21)*(D9="×"))+SUMPRODUCT((E9:F9=E21)*(G9="×"))+SUMPRODUCT((H9:I9=E21)*(J9="×"))+SUMPRODUCT((K9:L9=E21)*(M9="×"))+SUMPRODUCT((N9:O9=E21)*(P9="×"))+SUMPRODUCT((B11:C11=E21)*(D11="×"))+SUMPRODUCT((E11:F11=E21)*(G11="×"))+SUMPRODUCT((H11:I11=E21)*(J11="×"))+SUMPRODUCT((K11:L11=E21)*(M11="×"))+SUMPRODUCT((N11:O11=E21)*(P11="×"))+SUMPRODUCT((B13:C13=E21)*(D13="×"))+SUMPRODUCT((E13:F13=E21)*(G13="×"))+SUMPRODUCT((H13:I13=E21)*(J13="×"))+SUMPRODUCT((K13:L13=E21)*(M13="×"))+SUMPRODUCT((N13:O13=E21)*(P13="×"))+SUMPRODUCT((B15:C15=E21)*(D15="×"))+SUMPRODUCT((E15:F15=E21)*(G15="×"))+SUMPRODUCT((H15:I15=E21)*(J15="×"))+SUMPRODUCT((K15:L15=E21)*(M15="×"))+SUMPRODUCT((N15:O15=E21)*(P15="×"))+SUMPRODUCT((B17:C17=E21)*(D17="×"))+SUMPRODUCT((E17:F17=E21)*(G17="×"))+SUMPRODUCT((H17:I17=E21)*(J17="×"))+SUMPRODUCT((K17:L17=E21)*(M17="×"))+SUMPRODUCT((N17:O17=E21)*(P17="×")))))</f>
        <v/>
      </c>
      <c r="F23" s="19">
        <f>IF(F21="","",IF(F24="","",F24-(SUMPRODUCT((B5:C5=F21)*(D5="×"))+SUMPRODUCT((E5:F5=F21)*(G5="×"))+SUMPRODUCT((H5:I5=F21)*(J5="×"))+SUMPRODUCT((K5:L5=F21)*(M5="×"))+SUMPRODUCT((N5:O5=F21)*(P5="×"))+SUMPRODUCT((B7:C7=F21)*(D7="×"))+SUMPRODUCT((E7:F7=F21)*(G7="×"))+SUMPRODUCT((H7:I7=F21)*(J7="×"))+SUMPRODUCT((K7:L7=F21)*(M7="×"))+SUMPRODUCT((N7:O7=F21)*(P7="×"))+SUMPRODUCT((B9:C9=F21)*(D9="×"))+SUMPRODUCT((E9:F9=F21)*(G9="×"))+SUMPRODUCT((H9:I9=F21)*(J9="×"))+SUMPRODUCT((K9:L9=F21)*(M9="×"))+SUMPRODUCT((N9:O9=F21)*(P9="×"))+SUMPRODUCT((B11:C11=F21)*(D11="×"))+SUMPRODUCT((E11:F11=F21)*(G11="×"))+SUMPRODUCT((H11:I11=F21)*(J11="×"))+SUMPRODUCT((K11:L11=F21)*(M11="×"))+SUMPRODUCT((N11:O11=F21)*(P11="×"))+SUMPRODUCT((B13:C13=F21)*(D13="×"))+SUMPRODUCT((E13:F13=F21)*(G13="×"))+SUMPRODUCT((H13:I13=F21)*(J13="×"))+SUMPRODUCT((K13:L13=F21)*(M13="×"))+SUMPRODUCT((N13:O13=F21)*(P13="×"))+SUMPRODUCT((B15:C15=F21)*(D15="×"))+SUMPRODUCT((E15:F15=F21)*(G15="×"))+SUMPRODUCT((H15:I15=F21)*(J15="×"))+SUMPRODUCT((K15:L15=F21)*(M15="×"))+SUMPRODUCT((N15:O15=F21)*(P15="×"))+SUMPRODUCT((B17:C17=F21)*(D17="×"))+SUMPRODUCT((E17:F17=F21)*(G17="×"))+SUMPRODUCT((H17:I17=F21)*(J17="×"))+SUMPRODUCT((K17:L17=F21)*(M17="×"))+SUMPRODUCT((N17:O17=F21)*(P17="×")))))</f>
        <v/>
      </c>
      <c r="G23" s="19">
        <f>IF(G21="","",IF(G24="","",G24-(SUMPRODUCT((B5:C5=G21)*(D5="×"))+SUMPRODUCT((E5:F5=G21)*(G5="×"))+SUMPRODUCT((H5:I5=G21)*(J5="×"))+SUMPRODUCT((K5:L5=G21)*(M5="×"))+SUMPRODUCT((N5:O5=G21)*(P5="×"))+SUMPRODUCT((B7:C7=G21)*(D7="×"))+SUMPRODUCT((E7:F7=G21)*(G7="×"))+SUMPRODUCT((H7:I7=G21)*(J7="×"))+SUMPRODUCT((K7:L7=G21)*(M7="×"))+SUMPRODUCT((N7:O7=G21)*(P7="×"))+SUMPRODUCT((B9:C9=G21)*(D9="×"))+SUMPRODUCT((E9:F9=G21)*(G9="×"))+SUMPRODUCT((H9:I9=G21)*(J9="×"))+SUMPRODUCT((K9:L9=G21)*(M9="×"))+SUMPRODUCT((N9:O9=G21)*(P9="×"))+SUMPRODUCT((B11:C11=G21)*(D11="×"))+SUMPRODUCT((E11:F11=G21)*(G11="×"))+SUMPRODUCT((H11:I11=G21)*(J11="×"))+SUMPRODUCT((K11:L11=G21)*(M11="×"))+SUMPRODUCT((N11:O11=G21)*(P11="×"))+SUMPRODUCT((B13:C13=G21)*(D13="×"))+SUMPRODUCT((E13:F13=G21)*(G13="×"))+SUMPRODUCT((H13:I13=G21)*(J13="×"))+SUMPRODUCT((K13:L13=G21)*(M13="×"))+SUMPRODUCT((N13:O13=G21)*(P13="×"))+SUMPRODUCT((B15:C15=G21)*(D15="×"))+SUMPRODUCT((E15:F15=G21)*(G15="×"))+SUMPRODUCT((H15:I15=G21)*(J15="×"))+SUMPRODUCT((K15:L15=G21)*(M15="×"))+SUMPRODUCT((N15:O15=G21)*(P15="×"))+SUMPRODUCT((B17:C17=G21)*(D17="×"))+SUMPRODUCT((E17:F17=G21)*(G17="×"))+SUMPRODUCT((H17:I17=G21)*(J17="×"))+SUMPRODUCT((K17:L17=G21)*(M17="×"))+SUMPRODUCT((N17:O17=G21)*(P17="×")))))</f>
        <v/>
      </c>
      <c r="H23" s="19"/>
      <c r="I23" s="19"/>
      <c r="J23" s="19"/>
      <c r="K23" s="19"/>
      <c r="L23" s="19"/>
      <c r="M23" s="19">
        <f>IF(M24="","",M24-(SUMPRODUCT((B5:C5="特活")*(D5="×"))+SUMPRODUCT((B5:C5="学活")*(D5="×"))+SUMPRODUCT((E5:F5="特活")*(G5="×"))+SUMPRODUCT((E5:F5="学活")*(G5="×"))+SUMPRODUCT((H5:I5="特活")*(J5="×"))+SUMPRODUCT((H5:I5="学活")*(J5="×"))+SUMPRODUCT((K5:L5="特活")*(M5="×"))+SUMPRODUCT((K5:L5="学活")*(M5="×"))+SUMPRODUCT((N5:O5="特活")*(P5="×"))+SUMPRODUCT((N5:O5="学活")*(P5="×"))+SUMPRODUCT((B7:C7="特活")*(D7="×"))+SUMPRODUCT((B7:C7="学活")*(D7="×"))+SUMPRODUCT((E7:F7="特活")*(G7="×"))+SUMPRODUCT((E7:F7="学活")*(G7="×"))+SUMPRODUCT((H7:I7="特活")*(J7="×"))+SUMPRODUCT((H7:I7="学活")*(J7="×"))+SUMPRODUCT((K7:L7="特活")*(M7="×"))+SUMPRODUCT((K7:L7="学活")*(M7="×"))+SUMPRODUCT((N7:O7="特活")*(P7="×"))+SUMPRODUCT((N7:O7="学活")*(P7="×"))+SUMPRODUCT((B9:C9="特活")*(D9="×"))+SUMPRODUCT((B9:C9="学活")*(D9="×"))+SUMPRODUCT((E9:F9="特活")*(G9="×"))+SUMPRODUCT((E9:F9="学活")*(G9="×"))+SUMPRODUCT((H9:I9="特活")*(J9="×"))+SUMPRODUCT((H9:I9="学活")*(J9="×"))+SUMPRODUCT((K9:L9="特活")*(M9="×"))+SUMPRODUCT((K9:L9="学活")*(M9="×"))+SUMPRODUCT((N9:O9="特活")*(P9="×"))+SUMPRODUCT((N9:O9="学活")*(P9="×"))+SUMPRODUCT((B11:C11="特活")*(D11="×"))+SUMPRODUCT((B11:C11="学活")*(D11="×"))+SUMPRODUCT((E11:F11="特活")*(G11="×"))+SUMPRODUCT((E11:F11="学活")*(G11="×"))+SUMPRODUCT((H11:I11="特活")*(J11="×"))+SUMPRODUCT((H11:I11="学活")*(J11="×"))+SUMPRODUCT((K11:L11="特活")*(M11="×"))+SUMPRODUCT((K11:L11="学活")*(M11="×"))+SUMPRODUCT((N11:O11="特活")*(P11="×"))+SUMPRODUCT((N11:O11="学活")*(P11="×"))+SUMPRODUCT((B13:C13="特活")*(D13="×"))+SUMPRODUCT((B13:C13="学活")*(D13="×"))+SUMPRODUCT((E13:F13="特活")*(G13="×"))+SUMPRODUCT((E13:F13="学活")*(G13="×"))+SUMPRODUCT((H13:I13="特活")*(J13="×"))+SUMPRODUCT((H13:I13="学活")*(J13="×"))+SUMPRODUCT((K13:L13="特活")*(M13="×"))+SUMPRODUCT((K13:L13="学活")*(M13="×"))+SUMPRODUCT((N13:O13="特活")*(P13="×"))+SUMPRODUCT((N13:O13="学活")*(P13="×"))+SUMPRODUCT((B15:C15="特活")*(D15="×"))+SUMPRODUCT((B15:C15="学活")*(D15="×"))+SUMPRODUCT((E15:F15="特活")*(G15="×"))+SUMPRODUCT((E15:F15="学活")*(G15="×"))+SUMPRODUCT((H15:I15="特活")*(J15="×"))+SUMPRODUCT((H15:I15="学活")*(J15="×"))+SUMPRODUCT((K15:L15="特活")*(M15="×"))+SUMPRODUCT((K15:L15="学活")*(M15="×"))+SUMPRODUCT((N15:O15="特活")*(P15="×"))+SUMPRODUCT((N15:O15="学活")*(P15="×"))+SUMPRODUCT((B17:C17="特活")*(D17="×"))+SUMPRODUCT((B17:C17="学活")*(D17="×"))+SUMPRODUCT((E17:F17="特活")*(G17="×"))+SUMPRODUCT((E17:F17="学活")*(G17="×"))+SUMPRODUCT((H17:I17="特活")*(J17="×"))+SUMPRODUCT((H17:I17="学活")*(J17="×"))+SUMPRODUCT((K17:L17="特活")*(M17="×"))+SUMPRODUCT((K17:L17="学活")*(M17="×"))+SUMPRODUCT((N17:O17="特活")*(P17="×"))+SUMPRODUCT((N17:O17="学活")*(P17="×"))))</f>
        <v/>
      </c>
      <c r="N23" s="19">
        <f>IF(N24="","",N24-(SUMPRODUCT((B5:C5=N21)*(D5="×"))+SUMPRODUCT((E5:F5=N21)*(G5="×"))+SUMPRODUCT((H5:I5=N21)*(J5="×"))+SUMPRODUCT((K5:L5=N21)*(M5="×"))+SUMPRODUCT((N5:O5=N21)*(P5="×"))+SUMPRODUCT((B7:C7=N21)*(D7="×"))+SUMPRODUCT((E7:F7=N21)*(G7="×"))+SUMPRODUCT((H7:I7=N21)*(J7="×"))+SUMPRODUCT((K7:L7=N21)*(M7="×"))+SUMPRODUCT((N7:O7=N21)*(P7="×"))+SUMPRODUCT((B9:C9=N21)*(D9="×"))+SUMPRODUCT((E9:F9=N21)*(G9="×"))+SUMPRODUCT((H9:I9=N21)*(J9="×"))+SUMPRODUCT((K9:L9=N21)*(M9="×"))+SUMPRODUCT((N9:O9=N21)*(P9="×"))+SUMPRODUCT((B11:C11=N21)*(D11="×"))+SUMPRODUCT((E11:F11=N21)*(G11="×"))+SUMPRODUCT((H11:I11=N21)*(J11="×"))+SUMPRODUCT((K11:L11=N21)*(M11="×"))+SUMPRODUCT((N11:O11=N21)*(P11="×"))+SUMPRODUCT((B13:C13=N21)*(D13="×"))+SUMPRODUCT((E13:F13=N21)*(G13="×"))+SUMPRODUCT((H13:I13=N21)*(J13="×"))+SUMPRODUCT((K13:L13=N21)*(M13="×"))+SUMPRODUCT((N13:O13=N21)*(P13="×"))+SUMPRODUCT((B15:C15=N21)*(D15="×"))+SUMPRODUCT((E15:F15=N21)*(G15="×"))+SUMPRODUCT((H15:I15=N21)*(J15="×"))+SUMPRODUCT((K15:L15=N21)*(M15="×"))+SUMPRODUCT((N15:O15=N21)*(P15="×"))+SUMPRODUCT((B17:C17=N21)*(D17="×"))+SUMPRODUCT((E17:F17=N21)*(G17="×"))+SUMPRODUCT((H17:I17=N21)*(J17="×"))+SUMPRODUCT((K17:L17=N21)*(M17="×"))+SUMPRODUCT((N17:O17=N21)*(P17="×"))))</f>
        <v/>
      </c>
      <c r="O23" s="19">
        <f>IF(O24="","",O24-(SUMPRODUCT((B5:C5=O21)*(D5="×"))+SUMPRODUCT((E5:F5=O21)*(G5="×"))+SUMPRODUCT((H5:I5=O21)*(J5="×"))+SUMPRODUCT((K5:L5=O21)*(M5="×"))+SUMPRODUCT((N5:O5=O21)*(P5="×"))+SUMPRODUCT((B7:C7=O21)*(D7="×"))+SUMPRODUCT((E7:F7=O21)*(G7="×"))+SUMPRODUCT((H7:I7=O21)*(J7="×"))+SUMPRODUCT((K7:L7=O21)*(M7="×"))+SUMPRODUCT((N7:O7=O21)*(P7="×"))+SUMPRODUCT((B9:C9=O21)*(D9="×"))+SUMPRODUCT((E9:F9=O21)*(G9="×"))+SUMPRODUCT((H9:I9=O21)*(J9="×"))+SUMPRODUCT((K9:L9=O21)*(M9="×"))+SUMPRODUCT((N9:O9=O21)*(P9="×"))+SUMPRODUCT((B11:C11=O21)*(D11="×"))+SUMPRODUCT((E11:F11=O21)*(G11="×"))+SUMPRODUCT((H11:I11=O21)*(J11="×"))+SUMPRODUCT((K11:L11=O21)*(M11="×"))+SUMPRODUCT((N11:O11=O21)*(P11="×"))+SUMPRODUCT((B13:C13=O21)*(D13="×"))+SUMPRODUCT((E13:F13=O21)*(G13="×"))+SUMPRODUCT((H13:I13=O21)*(J13="×"))+SUMPRODUCT((K13:L13=O21)*(M13="×"))+SUMPRODUCT((N13:O13=O21)*(P13="×"))+SUMPRODUCT((B15:C15=O21)*(D15="×"))+SUMPRODUCT((E15:F15=O21)*(G15="×"))+SUMPRODUCT((H15:I15=O21)*(J15="×"))+SUMPRODUCT((K15:L15=O21)*(M15="×"))+SUMPRODUCT((N15:O15=O21)*(P15="×"))+SUMPRODUCT((B17:C17=O21)*(D17="×"))+SUMPRODUCT((E17:F17=O21)*(G17="×"))+SUMPRODUCT((H17:I17=O21)*(J17="×"))+SUMPRODUCT((K17:L17=O21)*(M17="×"))+SUMPRODUCT((N17:O17=O21)*(P17="×"))))</f>
        <v/>
      </c>
      <c r="P23" s="20">
        <f>IF(SUM(B23:O23)=0,"",SUM(B23:O23))</f>
        <v/>
      </c>
    </row>
    <row r="24" spans="1:16" ht="13.5" customHeight="1" x14ac:dyDescent="0.2">
      <c r="A24" s="36"/>
      <c r="B24" s="21">
        <f>IF(B21="","",IF(COUNTIF(B5:C5,B21)+COUNTIF(B5:C5,"*,"&amp;B21&amp;",*")+COUNTIF(E5:F5,B21)+COUNTIF(E5:F5,"*,"&amp;B21&amp;",*")+COUNTIF(H5:I5,B21)+COUNTIF(H5:I5,"*,"&amp;B21&amp;",*")+COUNTIF(K5:L5,B21)+COUNTIF(K5:L5,"*,"&amp;B21&amp;",*")+COUNTIF(N5:O5,B21)+COUNTIF(N5:O5,"*,"&amp;B21&amp;",*")+COUNTIF(B7:C7,B21)+COUNTIF(B7:C7,"*,"&amp;B21&amp;",*")+COUNTIF(E7:F7,B21)+COUNTIF(E7:F7,"*,"&amp;B21&amp;",*")+COUNTIF(H7:I7,B21)+COUNTIF(H7:I7,"*,"&amp;B21&amp;",*")+COUNTIF(K7:L7,B21)+COUNTIF(K7:L7,"*,"&amp;B21&amp;",*")+COUNTIF(N7:O7,B21)+COUNTIF(N7:O7,"*,"&amp;B21&amp;",*")+COUNTIF(B9:C9,B21)+COUNTIF(B9:C9,"*,"&amp;B21&amp;",*")+COUNTIF(E9:F9,B21)+COUNTIF(E9:F9,"*,"&amp;B21&amp;",*")+COUNTIF(H9:I9,B21)+COUNTIF(H9:I9,"*,"&amp;B21&amp;",*")+COUNTIF(K9:L9,B21)+COUNTIF(K9:L9,"*,"&amp;B21&amp;",*")+COUNTIF(N9:O9,B21)+COUNTIF(N9:O9,"*,"&amp;B21&amp;",*")+COUNTIF(B11:C11,B21)+COUNTIF(B11:C11,"*,"&amp;B21&amp;",*")+COUNTIF(E11:F11,B21)+COUNTIF(E11:F11,"*,"&amp;B21&amp;",*")+COUNTIF(H11:I11,B21)+COUNTIF(H11:I11,"*,"&amp;B21&amp;",*")+COUNTIF(K11:L11,B21)+COUNTIF(K11:L11,"*,"&amp;B21&amp;",*")+COUNTIF(N11:O11,B21)+COUNTIF(N11:O11,"*,"&amp;B21&amp;",*")+COUNTIF(B13:C13,B21)+COUNTIF(B13:C13,"*,"&amp;B21&amp;",*")+COUNTIF(E13:F13,B21)+COUNTIF(E13:F13,"*,"&amp;B21&amp;",*")+COUNTIF(H13:I13,B21)+COUNTIF(H13:I13,"*,"&amp;B21&amp;",*")+COUNTIF(K13:L13,B21)+COUNTIF(K13:L13,"*,"&amp;B21&amp;",*")+COUNTIF(N13:O13,B21)+COUNTIF(N13:O13,"*,"&amp;B21&amp;",*")+COUNTIF(B15:C15,B21)+COUNTIF(B15:C15,"*,"&amp;B21&amp;",*")+COUNTIF(E15:F15,B21)+COUNTIF(E15:F15,"*,"&amp;B21&amp;",*")+COUNTIF(H15:I15,B21)+COUNTIF(H15:I15,"*,"&amp;B21&amp;",*")+COUNTIF(K15:L15,B21)+COUNTIF(K15:L15,"*,"&amp;B21&amp;",*")+COUNTIF(N15:O15,B21)+COUNTIF(N15:O15,"*,"&amp;B21&amp;",*")+COUNTIF(B17:C17,B21)+COUNTIF(B17:C17,"*,"&amp;B21&amp;",*")+COUNTIF(E17:F17,B21)+COUNTIF(E17:F17,"*,"&amp;B21&amp;",*")+COUNTIF(H17:I17,B21)+COUNTIF(H17:I17,"*,"&amp;B21&amp;",*")+COUNTIF(K17:L17,B21)+COUNTIF(K17:L17,"*,"&amp;B21&amp;",*")+COUNTIF(N17:O17,B21)+COUNTIF(N17:O17,"*,"&amp;B21&amp;",*")=0,"",COUNTIF(B5:C5,B21)+COUNTIF(B5:C5,"*,"&amp;B21&amp;",*")+COUNTIF(E5:F5,B21)+COUNTIF(E5:F5,"*,"&amp;B21&amp;",*")+COUNTIF(H5:I5,B21)+COUNTIF(H5:I5,"*,"&amp;B21&amp;",*")+COUNTIF(K5:L5,B21)+COUNTIF(K5:L5,"*,"&amp;B21&amp;",*")+COUNTIF(N5:O5,B21)+COUNTIF(N5:O5,"*,"&amp;B21&amp;",*")+COUNTIF(B7:C7,B21)+COUNTIF(B7:C7,"*,"&amp;B21&amp;",*")+COUNTIF(E7:F7,B21)+COUNTIF(E7:F7,"*,"&amp;B21&amp;",*")+COUNTIF(H7:I7,B21)+COUNTIF(H7:I7,"*,"&amp;B21&amp;",*")+COUNTIF(K7:L7,B21)+COUNTIF(K7:L7,"*,"&amp;B21&amp;",*")+COUNTIF(N7:O7,B21)+COUNTIF(N7:O7,"*,"&amp;B21&amp;",*")+COUNTIF(B9:C9,B21)+COUNTIF(B9:C9,"*,"&amp;B21&amp;",*")+COUNTIF(E9:F9,B21)+COUNTIF(E9:F9,"*,"&amp;B21&amp;",*")+COUNTIF(H9:I9,B21)+COUNTIF(H9:I9,"*,"&amp;B21&amp;",*")+COUNTIF(K9:L9,B21)+COUNTIF(K9:L9,"*,"&amp;B21&amp;",*")+COUNTIF(N9:O9,B21)+COUNTIF(N9:O9,"*,"&amp;B21&amp;",*")+COUNTIF(B11:C11,B21)+COUNTIF(B11:C11,"*,"&amp;B21&amp;",*")+COUNTIF(E11:F11,B21)+COUNTIF(E11:F11,"*,"&amp;B21&amp;",*")+COUNTIF(H11:I11,B21)+COUNTIF(H11:I11,"*,"&amp;B21&amp;",*")+COUNTIF(K11:L11,B21)+COUNTIF(K11:L11,"*,"&amp;B21&amp;",*")+COUNTIF(N11:O11,B21)+COUNTIF(N11:O11,"*,"&amp;B21&amp;",*")+COUNTIF(B13:C13,B21)+COUNTIF(B13:C13,"*,"&amp;B21&amp;",*")+COUNTIF(E13:F13,B21)+COUNTIF(E13:F13,"*,"&amp;B21&amp;",*")+COUNTIF(H13:I13,B21)+COUNTIF(H13:I13,"*,"&amp;B21&amp;",*")+COUNTIF(K13:L13,B21)+COUNTIF(K13:L13,"*,"&amp;B21&amp;",*")+COUNTIF(N13:O13,B21)+COUNTIF(N13:O13,"*,"&amp;B21&amp;",*")+COUNTIF(B15:C15,B21)+COUNTIF(B15:C15,"*,"&amp;B21&amp;",*")+COUNTIF(E15:F15,B21)+COUNTIF(E15:F15,"*,"&amp;B21&amp;",*")+COUNTIF(H15:I15,B21)+COUNTIF(H15:I15,"*,"&amp;B21&amp;",*")+COUNTIF(K15:L15,B21)+COUNTIF(K15:L15,"*,"&amp;B21&amp;",*")+COUNTIF(N15:O15,B21)+COUNTIF(N15:O15,"*,"&amp;B21&amp;",*")+COUNTIF(B17:C17,B21)+COUNTIF(B17:C17,"*,"&amp;B21&amp;",*")+COUNTIF(E17:F17,B21)+COUNTIF(E17:F17,"*,"&amp;B21&amp;",*")+COUNTIF(H17:I17,B21)+COUNTIF(H17:I17,"*,"&amp;B21&amp;",*")+COUNTIF(K17:L17,B21)+COUNTIF(K17:L17,"*,"&amp;B21&amp;",*")+COUNTIF(N17:O17,B21)+COUNTIF(N17:O17,"*,"&amp;B21&amp;",*")))</f>
        <v/>
      </c>
      <c r="C24" s="21">
        <f>IF(C21="","",IF(COUNTIF(B5:C5,C21)+COUNTIF(B5:C5,"*,"&amp;C21&amp;",*")+COUNTIF(E5:F5,C21)+COUNTIF(E5:F5,"*,"&amp;C21&amp;",*")+COUNTIF(H5:I5,C21)+COUNTIF(H5:I5,"*,"&amp;C21&amp;",*")+COUNTIF(K5:L5,C21)+COUNTIF(K5:L5,"*,"&amp;C21&amp;",*")+COUNTIF(N5:O5,C21)+COUNTIF(N5:O5,"*,"&amp;C21&amp;",*")+COUNTIF(B7:C7,C21)+COUNTIF(B7:C7,"*,"&amp;C21&amp;",*")+COUNTIF(E7:F7,C21)+COUNTIF(E7:F7,"*,"&amp;C21&amp;",*")+COUNTIF(H7:I7,C21)+COUNTIF(H7:I7,"*,"&amp;C21&amp;",*")+COUNTIF(K7:L7,C21)+COUNTIF(K7:L7,"*,"&amp;C21&amp;",*")+COUNTIF(N7:O7,C21)+COUNTIF(N7:O7,"*,"&amp;C21&amp;",*")+COUNTIF(B9:C9,C21)+COUNTIF(B9:C9,"*,"&amp;C21&amp;",*")+COUNTIF(E9:F9,C21)+COUNTIF(E9:F9,"*,"&amp;C21&amp;",*")+COUNTIF(H9:I9,C21)+COUNTIF(H9:I9,"*,"&amp;C21&amp;",*")+COUNTIF(K9:L9,C21)+COUNTIF(K9:L9,"*,"&amp;C21&amp;",*")+COUNTIF(N9:O9,C21)+COUNTIF(N9:O9,"*,"&amp;C21&amp;",*")+COUNTIF(B11:C11,C21)+COUNTIF(B11:C11,"*,"&amp;C21&amp;",*")+COUNTIF(E11:F11,C21)+COUNTIF(E11:F11,"*,"&amp;C21&amp;",*")+COUNTIF(H11:I11,C21)+COUNTIF(H11:I11,"*,"&amp;C21&amp;",*")+COUNTIF(K11:L11,C21)+COUNTIF(K11:L11,"*,"&amp;C21&amp;",*")+COUNTIF(N11:O11,C21)+COUNTIF(N11:O11,"*,"&amp;C21&amp;",*")+COUNTIF(B13:C13,C21)+COUNTIF(B13:C13,"*,"&amp;C21&amp;",*")+COUNTIF(E13:F13,C21)+COUNTIF(E13:F13,"*,"&amp;C21&amp;",*")+COUNTIF(H13:I13,C21)+COUNTIF(H13:I13,"*,"&amp;C21&amp;",*")+COUNTIF(K13:L13,C21)+COUNTIF(K13:L13,"*,"&amp;C21&amp;",*")+COUNTIF(N13:O13,C21)+COUNTIF(N13:O13,"*,"&amp;C21&amp;",*")+COUNTIF(B15:C15,C21)+COUNTIF(B15:C15,"*,"&amp;C21&amp;",*")+COUNTIF(E15:F15,C21)+COUNTIF(E15:F15,"*,"&amp;C21&amp;",*")+COUNTIF(H15:I15,C21)+COUNTIF(H15:I15,"*,"&amp;C21&amp;",*")+COUNTIF(K15:L15,C21)+COUNTIF(K15:L15,"*,"&amp;C21&amp;",*")+COUNTIF(N15:O15,C21)+COUNTIF(N15:O15,"*,"&amp;C21&amp;",*")+COUNTIF(B17:C17,C21)+COUNTIF(B17:C17,"*,"&amp;C21&amp;",*")+COUNTIF(E17:F17,C21)+COUNTIF(E17:F17,"*,"&amp;C21&amp;",*")+COUNTIF(H17:I17,C21)+COUNTIF(H17:I17,"*,"&amp;C21&amp;",*")+COUNTIF(K17:L17,C21)+COUNTIF(K17:L17,"*,"&amp;C21&amp;",*")+COUNTIF(N17:O17,C21)+COUNTIF(N17:O17,"*,"&amp;C21&amp;",*")=0,"",COUNTIF(B5:C5,C21)+COUNTIF(B5:C5,"*,"&amp;C21&amp;",*")+COUNTIF(E5:F5,C21)+COUNTIF(E5:F5,"*,"&amp;C21&amp;",*")+COUNTIF(H5:I5,C21)+COUNTIF(H5:I5,"*,"&amp;C21&amp;",*")+COUNTIF(K5:L5,C21)+COUNTIF(K5:L5,"*,"&amp;C21&amp;",*")+COUNTIF(N5:O5,C21)+COUNTIF(N5:O5,"*,"&amp;C21&amp;",*")+COUNTIF(B7:C7,C21)+COUNTIF(B7:C7,"*,"&amp;C21&amp;",*")+COUNTIF(E7:F7,C21)+COUNTIF(E7:F7,"*,"&amp;C21&amp;",*")+COUNTIF(H7:I7,C21)+COUNTIF(H7:I7,"*,"&amp;C21&amp;",*")+COUNTIF(K7:L7,C21)+COUNTIF(K7:L7,"*,"&amp;C21&amp;",*")+COUNTIF(N7:O7,C21)+COUNTIF(N7:O7,"*,"&amp;C21&amp;",*")+COUNTIF(B9:C9,C21)+COUNTIF(B9:C9,"*,"&amp;C21&amp;",*")+COUNTIF(E9:F9,C21)+COUNTIF(E9:F9,"*,"&amp;C21&amp;",*")+COUNTIF(H9:I9,C21)+COUNTIF(H9:I9,"*,"&amp;C21&amp;",*")+COUNTIF(K9:L9,C21)+COUNTIF(K9:L9,"*,"&amp;C21&amp;",*")+COUNTIF(N9:O9,C21)+COUNTIF(N9:O9,"*,"&amp;C21&amp;",*")+COUNTIF(B11:C11,C21)+COUNTIF(B11:C11,"*,"&amp;C21&amp;",*")+COUNTIF(E11:F11,C21)+COUNTIF(E11:F11,"*,"&amp;C21&amp;",*")+COUNTIF(H11:I11,C21)+COUNTIF(H11:I11,"*,"&amp;C21&amp;",*")+COUNTIF(K11:L11,C21)+COUNTIF(K11:L11,"*,"&amp;C21&amp;",*")+COUNTIF(N11:O11,C21)+COUNTIF(N11:O11,"*,"&amp;C21&amp;",*")+COUNTIF(B13:C13,C21)+COUNTIF(B13:C13,"*,"&amp;C21&amp;",*")+COUNTIF(E13:F13,C21)+COUNTIF(E13:F13,"*,"&amp;C21&amp;",*")+COUNTIF(H13:I13,C21)+COUNTIF(H13:I13,"*,"&amp;C21&amp;",*")+COUNTIF(K13:L13,C21)+COUNTIF(K13:L13,"*,"&amp;C21&amp;",*")+COUNTIF(N13:O13,C21)+COUNTIF(N13:O13,"*,"&amp;C21&amp;",*")+COUNTIF(B15:C15,C21)+COUNTIF(B15:C15,"*,"&amp;C21&amp;",*")+COUNTIF(E15:F15,C21)+COUNTIF(E15:F15,"*,"&amp;C21&amp;",*")+COUNTIF(H15:I15,C21)+COUNTIF(H15:I15,"*,"&amp;C21&amp;",*")+COUNTIF(K15:L15,C21)+COUNTIF(K15:L15,"*,"&amp;C21&amp;",*")+COUNTIF(N15:O15,C21)+COUNTIF(N15:O15,"*,"&amp;C21&amp;",*")+COUNTIF(B17:C17,C21)+COUNTIF(B17:C17,"*,"&amp;C21&amp;",*")+COUNTIF(E17:F17,C21)+COUNTIF(E17:F17,"*,"&amp;C21&amp;",*")+COUNTIF(H17:I17,C21)+COUNTIF(H17:I17,"*,"&amp;C21&amp;",*")+COUNTIF(K17:L17,C21)+COUNTIF(K17:L17,"*,"&amp;C21&amp;",*")+COUNTIF(N17:O17,C21)+COUNTIF(N17:O17,"*,"&amp;C21&amp;",*")))</f>
        <v/>
      </c>
      <c r="D24" s="21">
        <f>IF(D21="","",IF(COUNTIF(B5:C5,D21)+COUNTIF(B5:C5,"*,"&amp;D21&amp;",*")+COUNTIF(E5:F5,D21)+COUNTIF(E5:F5,"*,"&amp;D21&amp;",*")+COUNTIF(H5:I5,D21)+COUNTIF(H5:I5,"*,"&amp;D21&amp;",*")+COUNTIF(K5:L5,D21)+COUNTIF(K5:L5,"*,"&amp;D21&amp;",*")+COUNTIF(N5:O5,D21)+COUNTIF(N5:O5,"*,"&amp;D21&amp;",*")+COUNTIF(B7:C7,D21)+COUNTIF(B7:C7,"*,"&amp;D21&amp;",*")+COUNTIF(E7:F7,D21)+COUNTIF(E7:F7,"*,"&amp;D21&amp;",*")+COUNTIF(H7:I7,D21)+COUNTIF(H7:I7,"*,"&amp;D21&amp;",*")+COUNTIF(K7:L7,D21)+COUNTIF(K7:L7,"*,"&amp;D21&amp;",*")+COUNTIF(N7:O7,D21)+COUNTIF(N7:O7,"*,"&amp;D21&amp;",*")+COUNTIF(B9:C9,D21)+COUNTIF(B9:C9,"*,"&amp;D21&amp;",*")+COUNTIF(E9:F9,D21)+COUNTIF(E9:F9,"*,"&amp;D21&amp;",*")+COUNTIF(H9:I9,D21)+COUNTIF(H9:I9,"*,"&amp;D21&amp;",*")+COUNTIF(K9:L9,D21)+COUNTIF(K9:L9,"*,"&amp;D21&amp;",*")+COUNTIF(N9:O9,D21)+COUNTIF(N9:O9,"*,"&amp;D21&amp;",*")+COUNTIF(B11:C11,D21)+COUNTIF(B11:C11,"*,"&amp;D21&amp;",*")+COUNTIF(E11:F11,D21)+COUNTIF(E11:F11,"*,"&amp;D21&amp;",*")+COUNTIF(H11:I11,D21)+COUNTIF(H11:I11,"*,"&amp;D21&amp;",*")+COUNTIF(K11:L11,D21)+COUNTIF(K11:L11,"*,"&amp;D21&amp;",*")+COUNTIF(N11:O11,D21)+COUNTIF(N11:O11,"*,"&amp;D21&amp;",*")+COUNTIF(B13:C13,D21)+COUNTIF(B13:C13,"*,"&amp;D21&amp;",*")+COUNTIF(E13:F13,D21)+COUNTIF(E13:F13,"*,"&amp;D21&amp;",*")+COUNTIF(H13:I13,D21)+COUNTIF(H13:I13,"*,"&amp;D21&amp;",*")+COUNTIF(K13:L13,D21)+COUNTIF(K13:L13,"*,"&amp;D21&amp;",*")+COUNTIF(N13:O13,D21)+COUNTIF(N13:O13,"*,"&amp;D21&amp;",*")+COUNTIF(B15:C15,D21)+COUNTIF(B15:C15,"*,"&amp;D21&amp;",*")+COUNTIF(E15:F15,D21)+COUNTIF(E15:F15,"*,"&amp;D21&amp;",*")+COUNTIF(H15:I15,D21)+COUNTIF(H15:I15,"*,"&amp;D21&amp;",*")+COUNTIF(K15:L15,D21)+COUNTIF(K15:L15,"*,"&amp;D21&amp;",*")+COUNTIF(N15:O15,D21)+COUNTIF(N15:O15,"*,"&amp;D21&amp;",*")+COUNTIF(B17:C17,D21)+COUNTIF(B17:C17,"*,"&amp;D21&amp;",*")+COUNTIF(E17:F17,D21)+COUNTIF(E17:F17,"*,"&amp;D21&amp;",*")+COUNTIF(H17:I17,D21)+COUNTIF(H17:I17,"*,"&amp;D21&amp;",*")+COUNTIF(K17:L17,D21)+COUNTIF(K17:L17,"*,"&amp;D21&amp;",*")+COUNTIF(N17:O17,D21)+COUNTIF(N17:O17,"*,"&amp;D21&amp;",*")=0,"",COUNTIF(B5:C5,D21)+COUNTIF(B5:C5,"*,"&amp;D21&amp;",*")+COUNTIF(E5:F5,D21)+COUNTIF(E5:F5,"*,"&amp;D21&amp;",*")+COUNTIF(H5:I5,D21)+COUNTIF(H5:I5,"*,"&amp;D21&amp;",*")+COUNTIF(K5:L5,D21)+COUNTIF(K5:L5,"*,"&amp;D21&amp;",*")+COUNTIF(N5:O5,D21)+COUNTIF(N5:O5,"*,"&amp;D21&amp;",*")+COUNTIF(B7:C7,D21)+COUNTIF(B7:C7,"*,"&amp;D21&amp;",*")+COUNTIF(E7:F7,D21)+COUNTIF(E7:F7,"*,"&amp;D21&amp;",*")+COUNTIF(H7:I7,D21)+COUNTIF(H7:I7,"*,"&amp;D21&amp;",*")+COUNTIF(K7:L7,D21)+COUNTIF(K7:L7,"*,"&amp;D21&amp;",*")+COUNTIF(N7:O7,D21)+COUNTIF(N7:O7,"*,"&amp;D21&amp;",*")+COUNTIF(B9:C9,D21)+COUNTIF(B9:C9,"*,"&amp;D21&amp;",*")+COUNTIF(E9:F9,D21)+COUNTIF(E9:F9,"*,"&amp;D21&amp;",*")+COUNTIF(H9:I9,D21)+COUNTIF(H9:I9,"*,"&amp;D21&amp;",*")+COUNTIF(K9:L9,D21)+COUNTIF(K9:L9,"*,"&amp;D21&amp;",*")+COUNTIF(N9:O9,D21)+COUNTIF(N9:O9,"*,"&amp;D21&amp;",*")+COUNTIF(B11:C11,D21)+COUNTIF(B11:C11,"*,"&amp;D21&amp;",*")+COUNTIF(E11:F11,D21)+COUNTIF(E11:F11,"*,"&amp;D21&amp;",*")+COUNTIF(H11:I11,D21)+COUNTIF(H11:I11,"*,"&amp;D21&amp;",*")+COUNTIF(K11:L11,D21)+COUNTIF(K11:L11,"*,"&amp;D21&amp;",*")+COUNTIF(N11:O11,D21)+COUNTIF(N11:O11,"*,"&amp;D21&amp;",*")+COUNTIF(B13:C13,D21)+COUNTIF(B13:C13,"*,"&amp;D21&amp;",*")+COUNTIF(E13:F13,D21)+COUNTIF(E13:F13,"*,"&amp;D21&amp;",*")+COUNTIF(H13:I13,D21)+COUNTIF(H13:I13,"*,"&amp;D21&amp;",*")+COUNTIF(K13:L13,D21)+COUNTIF(K13:L13,"*,"&amp;D21&amp;",*")+COUNTIF(N13:O13,D21)+COUNTIF(N13:O13,"*,"&amp;D21&amp;",*")+COUNTIF(B15:C15,D21)+COUNTIF(B15:C15,"*,"&amp;D21&amp;",*")+COUNTIF(E15:F15,D21)+COUNTIF(E15:F15,"*,"&amp;D21&amp;",*")+COUNTIF(H15:I15,D21)+COUNTIF(H15:I15,"*,"&amp;D21&amp;",*")+COUNTIF(K15:L15,D21)+COUNTIF(K15:L15,"*,"&amp;D21&amp;",*")+COUNTIF(N15:O15,D21)+COUNTIF(N15:O15,"*,"&amp;D21&amp;",*")+COUNTIF(B17:C17,D21)+COUNTIF(B17:C17,"*,"&amp;D21&amp;",*")+COUNTIF(E17:F17,D21)+COUNTIF(E17:F17,"*,"&amp;D21&amp;",*")+COUNTIF(H17:I17,D21)+COUNTIF(H17:I17,"*,"&amp;D21&amp;",*")+COUNTIF(K17:L17,D21)+COUNTIF(K17:L17,"*,"&amp;D21&amp;",*")+COUNTIF(N17:O17,D21)+COUNTIF(N17:O17,"*,"&amp;D21&amp;",*")))</f>
        <v/>
      </c>
      <c r="E24" s="21">
        <f>IF(E21="","",IF(COUNTIF(B5:C5,E21)+COUNTIF(B5:C5,"*,"&amp;E21&amp;",*")+COUNTIF(E5:F5,E21)+COUNTIF(E5:F5,"*,"&amp;E21&amp;",*")+COUNTIF(H5:I5,E21)+COUNTIF(H5:I5,"*,"&amp;E21&amp;",*")+COUNTIF(K5:L5,E21)+COUNTIF(K5:L5,"*,"&amp;E21&amp;",*")+COUNTIF(N5:O5,E21)+COUNTIF(N5:O5,"*,"&amp;E21&amp;",*")+COUNTIF(B7:C7,E21)+COUNTIF(B7:C7,"*,"&amp;E21&amp;",*")+COUNTIF(E7:F7,E21)+COUNTIF(E7:F7,"*,"&amp;E21&amp;",*")+COUNTIF(H7:I7,E21)+COUNTIF(H7:I7,"*,"&amp;E21&amp;",*")+COUNTIF(K7:L7,E21)+COUNTIF(K7:L7,"*,"&amp;E21&amp;",*")+COUNTIF(N7:O7,E21)+COUNTIF(N7:O7,"*,"&amp;E21&amp;",*")+COUNTIF(B9:C9,E21)+COUNTIF(B9:C9,"*,"&amp;E21&amp;",*")+COUNTIF(E9:F9,E21)+COUNTIF(E9:F9,"*,"&amp;E21&amp;",*")+COUNTIF(H9:I9,E21)+COUNTIF(H9:I9,"*,"&amp;E21&amp;",*")+COUNTIF(K9:L9,E21)+COUNTIF(K9:L9,"*,"&amp;E21&amp;",*")+COUNTIF(N9:O9,E21)+COUNTIF(N9:O9,"*,"&amp;E21&amp;",*")+COUNTIF(B11:C11,E21)+COUNTIF(B11:C11,"*,"&amp;E21&amp;",*")+COUNTIF(E11:F11,E21)+COUNTIF(E11:F11,"*,"&amp;E21&amp;",*")+COUNTIF(H11:I11,E21)+COUNTIF(H11:I11,"*,"&amp;E21&amp;",*")+COUNTIF(K11:L11,E21)+COUNTIF(K11:L11,"*,"&amp;E21&amp;",*")+COUNTIF(N11:O11,E21)+COUNTIF(N11:O11,"*,"&amp;E21&amp;",*")+COUNTIF(B13:C13,E21)+COUNTIF(B13:C13,"*,"&amp;E21&amp;",*")+COUNTIF(E13:F13,E21)+COUNTIF(E13:F13,"*,"&amp;E21&amp;",*")+COUNTIF(H13:I13,E21)+COUNTIF(H13:I13,"*,"&amp;E21&amp;",*")+COUNTIF(K13:L13,E21)+COUNTIF(K13:L13,"*,"&amp;E21&amp;",*")+COUNTIF(N13:O13,E21)+COUNTIF(N13:O13,"*,"&amp;E21&amp;",*")+COUNTIF(B15:C15,E21)+COUNTIF(B15:C15,"*,"&amp;E21&amp;",*")+COUNTIF(E15:F15,E21)+COUNTIF(E15:F15,"*,"&amp;E21&amp;",*")+COUNTIF(H15:I15,E21)+COUNTIF(H15:I15,"*,"&amp;E21&amp;",*")+COUNTIF(K15:L15,E21)+COUNTIF(K15:L15,"*,"&amp;E21&amp;",*")+COUNTIF(N15:O15,E21)+COUNTIF(N15:O15,"*,"&amp;E21&amp;",*")+COUNTIF(B17:C17,E21)+COUNTIF(B17:C17,"*,"&amp;E21&amp;",*")+COUNTIF(E17:F17,E21)+COUNTIF(E17:F17,"*,"&amp;E21&amp;",*")+COUNTIF(H17:I17,E21)+COUNTIF(H17:I17,"*,"&amp;E21&amp;",*")+COUNTIF(K17:L17,E21)+COUNTIF(K17:L17,"*,"&amp;E21&amp;",*")+COUNTIF(N17:O17,E21)+COUNTIF(N17:O17,"*,"&amp;E21&amp;",*")=0,"",COUNTIF(B5:C5,E21)+COUNTIF(B5:C5,"*,"&amp;E21&amp;",*")+COUNTIF(E5:F5,E21)+COUNTIF(E5:F5,"*,"&amp;E21&amp;",*")+COUNTIF(H5:I5,E21)+COUNTIF(H5:I5,"*,"&amp;E21&amp;",*")+COUNTIF(K5:L5,E21)+COUNTIF(K5:L5,"*,"&amp;E21&amp;",*")+COUNTIF(N5:O5,E21)+COUNTIF(N5:O5,"*,"&amp;E21&amp;",*")+COUNTIF(B7:C7,E21)+COUNTIF(B7:C7,"*,"&amp;E21&amp;",*")+COUNTIF(E7:F7,E21)+COUNTIF(E7:F7,"*,"&amp;E21&amp;",*")+COUNTIF(H7:I7,E21)+COUNTIF(H7:I7,"*,"&amp;E21&amp;",*")+COUNTIF(K7:L7,E21)+COUNTIF(K7:L7,"*,"&amp;E21&amp;",*")+COUNTIF(N7:O7,E21)+COUNTIF(N7:O7,"*,"&amp;E21&amp;",*")+COUNTIF(B9:C9,E21)+COUNTIF(B9:C9,"*,"&amp;E21&amp;",*")+COUNTIF(E9:F9,E21)+COUNTIF(E9:F9,"*,"&amp;E21&amp;",*")+COUNTIF(H9:I9,E21)+COUNTIF(H9:I9,"*,"&amp;E21&amp;",*")+COUNTIF(K9:L9,E21)+COUNTIF(K9:L9,"*,"&amp;E21&amp;",*")+COUNTIF(N9:O9,E21)+COUNTIF(N9:O9,"*,"&amp;E21&amp;",*")+COUNTIF(B11:C11,E21)+COUNTIF(B11:C11,"*,"&amp;E21&amp;",*")+COUNTIF(E11:F11,E21)+COUNTIF(E11:F11,"*,"&amp;E21&amp;",*")+COUNTIF(H11:I11,E21)+COUNTIF(H11:I11,"*,"&amp;E21&amp;",*")+COUNTIF(K11:L11,E21)+COUNTIF(K11:L11,"*,"&amp;E21&amp;",*")+COUNTIF(N11:O11,E21)+COUNTIF(N11:O11,"*,"&amp;E21&amp;",*")+COUNTIF(B13:C13,E21)+COUNTIF(B13:C13,"*,"&amp;E21&amp;",*")+COUNTIF(E13:F13,E21)+COUNTIF(E13:F13,"*,"&amp;E21&amp;",*")+COUNTIF(H13:I13,E21)+COUNTIF(H13:I13,"*,"&amp;E21&amp;",*")+COUNTIF(K13:L13,E21)+COUNTIF(K13:L13,"*,"&amp;E21&amp;",*")+COUNTIF(N13:O13,E21)+COUNTIF(N13:O13,"*,"&amp;E21&amp;",*")+COUNTIF(B15:C15,E21)+COUNTIF(B15:C15,"*,"&amp;E21&amp;",*")+COUNTIF(E15:F15,E21)+COUNTIF(E15:F15,"*,"&amp;E21&amp;",*")+COUNTIF(H15:I15,E21)+COUNTIF(H15:I15,"*,"&amp;E21&amp;",*")+COUNTIF(K15:L15,E21)+COUNTIF(K15:L15,"*,"&amp;E21&amp;",*")+COUNTIF(N15:O15,E21)+COUNTIF(N15:O15,"*,"&amp;E21&amp;",*")+COUNTIF(B17:C17,E21)+COUNTIF(B17:C17,"*,"&amp;E21&amp;",*")+COUNTIF(E17:F17,E21)+COUNTIF(E17:F17,"*,"&amp;E21&amp;",*")+COUNTIF(H17:I17,E21)+COUNTIF(H17:I17,"*,"&amp;E21&amp;",*")+COUNTIF(K17:L17,E21)+COUNTIF(K17:L17,"*,"&amp;E21&amp;",*")+COUNTIF(N17:O17,E21)+COUNTIF(N17:O17,"*,"&amp;E21&amp;",*")))</f>
        <v/>
      </c>
      <c r="F24" s="21">
        <f>IF(F21="","",IF(COUNTIF(B5:C5,F21)+COUNTIF(B5:C5,"*,"&amp;F21&amp;",*")+COUNTIF(E5:F5,F21)+COUNTIF(E5:F5,"*,"&amp;F21&amp;",*")+COUNTIF(H5:I5,F21)+COUNTIF(H5:I5,"*,"&amp;F21&amp;",*")+COUNTIF(K5:L5,F21)+COUNTIF(K5:L5,"*,"&amp;F21&amp;",*")+COUNTIF(N5:O5,F21)+COUNTIF(N5:O5,"*,"&amp;F21&amp;",*")+COUNTIF(B7:C7,F21)+COUNTIF(B7:C7,"*,"&amp;F21&amp;",*")+COUNTIF(E7:F7,F21)+COUNTIF(E7:F7,"*,"&amp;F21&amp;",*")+COUNTIF(H7:I7,F21)+COUNTIF(H7:I7,"*,"&amp;F21&amp;",*")+COUNTIF(K7:L7,F21)+COUNTIF(K7:L7,"*,"&amp;F21&amp;",*")+COUNTIF(N7:O7,F21)+COUNTIF(N7:O7,"*,"&amp;F21&amp;",*")+COUNTIF(B9:C9,F21)+COUNTIF(B9:C9,"*,"&amp;F21&amp;",*")+COUNTIF(E9:F9,F21)+COUNTIF(E9:F9,"*,"&amp;F21&amp;",*")+COUNTIF(H9:I9,F21)+COUNTIF(H9:I9,"*,"&amp;F21&amp;",*")+COUNTIF(K9:L9,F21)+COUNTIF(K9:L9,"*,"&amp;F21&amp;",*")+COUNTIF(N9:O9,F21)+COUNTIF(N9:O9,"*,"&amp;F21&amp;",*")+COUNTIF(B11:C11,F21)+COUNTIF(B11:C11,"*,"&amp;F21&amp;",*")+COUNTIF(E11:F11,F21)+COUNTIF(E11:F11,"*,"&amp;F21&amp;",*")+COUNTIF(H11:I11,F21)+COUNTIF(H11:I11,"*,"&amp;F21&amp;",*")+COUNTIF(K11:L11,F21)+COUNTIF(K11:L11,"*,"&amp;F21&amp;",*")+COUNTIF(N11:O11,F21)+COUNTIF(N11:O11,"*,"&amp;F21&amp;",*")+COUNTIF(B13:C13,F21)+COUNTIF(B13:C13,"*,"&amp;F21&amp;",*")+COUNTIF(E13:F13,F21)+COUNTIF(E13:F13,"*,"&amp;F21&amp;",*")+COUNTIF(H13:I13,F21)+COUNTIF(H13:I13,"*,"&amp;F21&amp;",*")+COUNTIF(K13:L13,F21)+COUNTIF(K13:L13,"*,"&amp;F21&amp;",*")+COUNTIF(N13:O13,F21)+COUNTIF(N13:O13,"*,"&amp;F21&amp;",*")+COUNTIF(B15:C15,F21)+COUNTIF(B15:C15,"*,"&amp;F21&amp;",*")+COUNTIF(E15:F15,F21)+COUNTIF(E15:F15,"*,"&amp;F21&amp;",*")+COUNTIF(H15:I15,F21)+COUNTIF(H15:I15,"*,"&amp;F21&amp;",*")+COUNTIF(K15:L15,F21)+COUNTIF(K15:L15,"*,"&amp;F21&amp;",*")+COUNTIF(N15:O15,F21)+COUNTIF(N15:O15,"*,"&amp;F21&amp;",*")+COUNTIF(B17:C17,F21)+COUNTIF(B17:C17,"*,"&amp;F21&amp;",*")+COUNTIF(E17:F17,F21)+COUNTIF(E17:F17,"*,"&amp;F21&amp;",*")+COUNTIF(H17:I17,F21)+COUNTIF(H17:I17,"*,"&amp;F21&amp;",*")+COUNTIF(K17:L17,F21)+COUNTIF(K17:L17,"*,"&amp;F21&amp;",*")+COUNTIF(N17:O17,F21)+COUNTIF(N17:O17,"*,"&amp;F21&amp;",*")=0,"",COUNTIF(B5:C5,F21)+COUNTIF(B5:C5,"*,"&amp;F21&amp;",*")+COUNTIF(E5:F5,F21)+COUNTIF(E5:F5,"*,"&amp;F21&amp;",*")+COUNTIF(H5:I5,F21)+COUNTIF(H5:I5,"*,"&amp;F21&amp;",*")+COUNTIF(K5:L5,F21)+COUNTIF(K5:L5,"*,"&amp;F21&amp;",*")+COUNTIF(N5:O5,F21)+COUNTIF(N5:O5,"*,"&amp;F21&amp;",*")+COUNTIF(B7:C7,F21)+COUNTIF(B7:C7,"*,"&amp;F21&amp;",*")+COUNTIF(E7:F7,F21)+COUNTIF(E7:F7,"*,"&amp;F21&amp;",*")+COUNTIF(H7:I7,F21)+COUNTIF(H7:I7,"*,"&amp;F21&amp;",*")+COUNTIF(K7:L7,F21)+COUNTIF(K7:L7,"*,"&amp;F21&amp;",*")+COUNTIF(N7:O7,F21)+COUNTIF(N7:O7,"*,"&amp;F21&amp;",*")+COUNTIF(B9:C9,F21)+COUNTIF(B9:C9,"*,"&amp;F21&amp;",*")+COUNTIF(E9:F9,F21)+COUNTIF(E9:F9,"*,"&amp;F21&amp;",*")+COUNTIF(H9:I9,F21)+COUNTIF(H9:I9,"*,"&amp;F21&amp;",*")+COUNTIF(K9:L9,F21)+COUNTIF(K9:L9,"*,"&amp;F21&amp;",*")+COUNTIF(N9:O9,F21)+COUNTIF(N9:O9,"*,"&amp;F21&amp;",*")+COUNTIF(B11:C11,F21)+COUNTIF(B11:C11,"*,"&amp;F21&amp;",*")+COUNTIF(E11:F11,F21)+COUNTIF(E11:F11,"*,"&amp;F21&amp;",*")+COUNTIF(H11:I11,F21)+COUNTIF(H11:I11,"*,"&amp;F21&amp;",*")+COUNTIF(K11:L11,F21)+COUNTIF(K11:L11,"*,"&amp;F21&amp;",*")+COUNTIF(N11:O11,F21)+COUNTIF(N11:O11,"*,"&amp;F21&amp;",*")+COUNTIF(B13:C13,F21)+COUNTIF(B13:C13,"*,"&amp;F21&amp;",*")+COUNTIF(E13:F13,F21)+COUNTIF(E13:F13,"*,"&amp;F21&amp;",*")+COUNTIF(H13:I13,F21)+COUNTIF(H13:I13,"*,"&amp;F21&amp;",*")+COUNTIF(K13:L13,F21)+COUNTIF(K13:L13,"*,"&amp;F21&amp;",*")+COUNTIF(N13:O13,F21)+COUNTIF(N13:O13,"*,"&amp;F21&amp;",*")+COUNTIF(B15:C15,F21)+COUNTIF(B15:C15,"*,"&amp;F21&amp;",*")+COUNTIF(E15:F15,F21)+COUNTIF(E15:F15,"*,"&amp;F21&amp;",*")+COUNTIF(H15:I15,F21)+COUNTIF(H15:I15,"*,"&amp;F21&amp;",*")+COUNTIF(K15:L15,F21)+COUNTIF(K15:L15,"*,"&amp;F21&amp;",*")+COUNTIF(N15:O15,F21)+COUNTIF(N15:O15,"*,"&amp;F21&amp;",*")+COUNTIF(B17:C17,F21)+COUNTIF(B17:C17,"*,"&amp;F21&amp;",*")+COUNTIF(E17:F17,F21)+COUNTIF(E17:F17,"*,"&amp;F21&amp;",*")+COUNTIF(H17:I17,F21)+COUNTIF(H17:I17,"*,"&amp;F21&amp;",*")+COUNTIF(K17:L17,F21)+COUNTIF(K17:L17,"*,"&amp;F21&amp;",*")+COUNTIF(N17:O17,F21)+COUNTIF(N17:O17,"*,"&amp;F21&amp;",*")))</f>
        <v/>
      </c>
      <c r="G24" s="21">
        <f>IF(G21="","",IF(COUNTIF(B5:C5,G21)+COUNTIF(B5:C5,"*,"&amp;G21&amp;",*")+COUNTIF(E5:F5,G21)+COUNTIF(E5:F5,"*,"&amp;G21&amp;",*")+COUNTIF(H5:I5,G21)+COUNTIF(H5:I5,"*,"&amp;G21&amp;",*")+COUNTIF(K5:L5,G21)+COUNTIF(K5:L5,"*,"&amp;G21&amp;",*")+COUNTIF(N5:O5,G21)+COUNTIF(N5:O5,"*,"&amp;G21&amp;",*")+COUNTIF(B7:C7,G21)+COUNTIF(B7:C7,"*,"&amp;G21&amp;",*")+COUNTIF(E7:F7,G21)+COUNTIF(E7:F7,"*,"&amp;G21&amp;",*")+COUNTIF(H7:I7,G21)+COUNTIF(H7:I7,"*,"&amp;G21&amp;",*")+COUNTIF(K7:L7,G21)+COUNTIF(K7:L7,"*,"&amp;G21&amp;",*")+COUNTIF(N7:O7,G21)+COUNTIF(N7:O7,"*,"&amp;G21&amp;",*")+COUNTIF(B9:C9,G21)+COUNTIF(B9:C9,"*,"&amp;G21&amp;",*")+COUNTIF(E9:F9,G21)+COUNTIF(E9:F9,"*,"&amp;G21&amp;",*")+COUNTIF(H9:I9,G21)+COUNTIF(H9:I9,"*,"&amp;G21&amp;",*")+COUNTIF(K9:L9,G21)+COUNTIF(K9:L9,"*,"&amp;G21&amp;",*")+COUNTIF(N9:O9,G21)+COUNTIF(N9:O9,"*,"&amp;G21&amp;",*")+COUNTIF(B11:C11,G21)+COUNTIF(B11:C11,"*,"&amp;G21&amp;",*")+COUNTIF(E11:F11,G21)+COUNTIF(E11:F11,"*,"&amp;G21&amp;",*")+COUNTIF(H11:I11,G21)+COUNTIF(H11:I11,"*,"&amp;G21&amp;",*")+COUNTIF(K11:L11,G21)+COUNTIF(K11:L11,"*,"&amp;G21&amp;",*")+COUNTIF(N11:O11,G21)+COUNTIF(N11:O11,"*,"&amp;G21&amp;",*")+COUNTIF(B13:C13,G21)+COUNTIF(B13:C13,"*,"&amp;G21&amp;",*")+COUNTIF(E13:F13,G21)+COUNTIF(E13:F13,"*,"&amp;G21&amp;",*")+COUNTIF(H13:I13,G21)+COUNTIF(H13:I13,"*,"&amp;G21&amp;",*")+COUNTIF(K13:L13,G21)+COUNTIF(K13:L13,"*,"&amp;G21&amp;",*")+COUNTIF(N13:O13,G21)+COUNTIF(N13:O13,"*,"&amp;G21&amp;",*")+COUNTIF(B15:C15,G21)+COUNTIF(B15:C15,"*,"&amp;G21&amp;",*")+COUNTIF(E15:F15,G21)+COUNTIF(E15:F15,"*,"&amp;G21&amp;",*")+COUNTIF(H15:I15,G21)+COUNTIF(H15:I15,"*,"&amp;G21&amp;",*")+COUNTIF(K15:L15,G21)+COUNTIF(K15:L15,"*,"&amp;G21&amp;",*")+COUNTIF(N15:O15,G21)+COUNTIF(N15:O15,"*,"&amp;G21&amp;",*")+COUNTIF(B17:C17,G21)+COUNTIF(B17:C17,"*,"&amp;G21&amp;",*")+COUNTIF(E17:F17,G21)+COUNTIF(E17:F17,"*,"&amp;G21&amp;",*")+COUNTIF(H17:I17,G21)+COUNTIF(H17:I17,"*,"&amp;G21&amp;",*")+COUNTIF(K17:L17,G21)+COUNTIF(K17:L17,"*,"&amp;G21&amp;",*")+COUNTIF(N17:O17,G21)+COUNTIF(N17:O17,"*,"&amp;G21&amp;",*")=0,"",COUNTIF(B5:C5,G21)+COUNTIF(B5:C5,"*,"&amp;G21&amp;",*")+COUNTIF(E5:F5,G21)+COUNTIF(E5:F5,"*,"&amp;G21&amp;",*")+COUNTIF(H5:I5,G21)+COUNTIF(H5:I5,"*,"&amp;G21&amp;",*")+COUNTIF(K5:L5,G21)+COUNTIF(K5:L5,"*,"&amp;G21&amp;",*")+COUNTIF(N5:O5,G21)+COUNTIF(N5:O5,"*,"&amp;G21&amp;",*")+COUNTIF(B7:C7,G21)+COUNTIF(B7:C7,"*,"&amp;G21&amp;",*")+COUNTIF(E7:F7,G21)+COUNTIF(E7:F7,"*,"&amp;G21&amp;",*")+COUNTIF(H7:I7,G21)+COUNTIF(H7:I7,"*,"&amp;G21&amp;",*")+COUNTIF(K7:L7,G21)+COUNTIF(K7:L7,"*,"&amp;G21&amp;",*")+COUNTIF(N7:O7,G21)+COUNTIF(N7:O7,"*,"&amp;G21&amp;",*")+COUNTIF(B9:C9,G21)+COUNTIF(B9:C9,"*,"&amp;G21&amp;",*")+COUNTIF(E9:F9,G21)+COUNTIF(E9:F9,"*,"&amp;G21&amp;",*")+COUNTIF(H9:I9,G21)+COUNTIF(H9:I9,"*,"&amp;G21&amp;",*")+COUNTIF(K9:L9,G21)+COUNTIF(K9:L9,"*,"&amp;G21&amp;",*")+COUNTIF(N9:O9,G21)+COUNTIF(N9:O9,"*,"&amp;G21&amp;",*")+COUNTIF(B11:C11,G21)+COUNTIF(B11:C11,"*,"&amp;G21&amp;",*")+COUNTIF(E11:F11,G21)+COUNTIF(E11:F11,"*,"&amp;G21&amp;",*")+COUNTIF(H11:I11,G21)+COUNTIF(H11:I11,"*,"&amp;G21&amp;",*")+COUNTIF(K11:L11,G21)+COUNTIF(K11:L11,"*,"&amp;G21&amp;",*")+COUNTIF(N11:O11,G21)+COUNTIF(N11:O11,"*,"&amp;G21&amp;",*")+COUNTIF(B13:C13,G21)+COUNTIF(B13:C13,"*,"&amp;G21&amp;",*")+COUNTIF(E13:F13,G21)+COUNTIF(E13:F13,"*,"&amp;G21&amp;",*")+COUNTIF(H13:I13,G21)+COUNTIF(H13:I13,"*,"&amp;G21&amp;",*")+COUNTIF(K13:L13,G21)+COUNTIF(K13:L13,"*,"&amp;G21&amp;",*")+COUNTIF(N13:O13,G21)+COUNTIF(N13:O13,"*,"&amp;G21&amp;",*")+COUNTIF(B15:C15,G21)+COUNTIF(B15:C15,"*,"&amp;G21&amp;",*")+COUNTIF(E15:F15,G21)+COUNTIF(E15:F15,"*,"&amp;G21&amp;",*")+COUNTIF(H15:I15,G21)+COUNTIF(H15:I15,"*,"&amp;G21&amp;",*")+COUNTIF(K15:L15,G21)+COUNTIF(K15:L15,"*,"&amp;G21&amp;",*")+COUNTIF(N15:O15,G21)+COUNTIF(N15:O15,"*,"&amp;G21&amp;",*")+COUNTIF(B17:C17,G21)+COUNTIF(B17:C17,"*,"&amp;G21&amp;",*")+COUNTIF(E17:F17,G21)+COUNTIF(E17:F17,"*,"&amp;G21&amp;",*")+COUNTIF(H17:I17,G21)+COUNTIF(H17:I17,"*,"&amp;G21&amp;",*")+COUNTIF(K17:L17,G21)+COUNTIF(K17:L17,"*,"&amp;G21&amp;",*")+COUNTIF(N17:O17,G21)+COUNTIF(N17:O17,"*,"&amp;G21&amp;",*")))</f>
        <v/>
      </c>
      <c r="H24" s="21"/>
      <c r="I24" s="21"/>
      <c r="J24" s="21"/>
      <c r="K24" s="21"/>
      <c r="L24" s="21"/>
      <c r="M24" s="21">
        <f>IF(COUNTIF(B5:C5,"特活")+COUNTIF(B5:C5,"学活")+COUNTIF(E5:F5,"特活")+COUNTIF(E5:F5,"学活")+COUNTIF(H5:I5,"特活")+COUNTIF(H5:I5,"学活")+COUNTIF(K5:L5,"特活")+COUNTIF(K5:L5,"学活")+COUNTIF(N5:O5,"特活")+COUNTIF(N5:O5,"学活")+COUNTIF(B7:C7,"特活")+COUNTIF(B7:C7,"学活")+COUNTIF(E7:F7,"特活")+COUNTIF(E7:F7,"学活")+COUNTIF(H7:I7,"特活")+COUNTIF(H7:I7,"学活")+COUNTIF(K7:L7,"特活")+COUNTIF(K7:L7,"学活")+COUNTIF(N7:O7,"特活")+COUNTIF(N7:O7,"学活")+COUNTIF(B9:C9,"特活")+COUNTIF(B9:C9,"学活")+COUNTIF(E9:F9,"特活")+COUNTIF(E9:F9,"学活")+COUNTIF(H9:I9,"特活")+COUNTIF(H9:I9,"学活")+COUNTIF(K9:L9,"特活")+COUNTIF(K9:L9,"学活")+COUNTIF(N9:O9,"特活")+COUNTIF(N9:O9,"学活")+COUNTIF(B11:C11,"特活")+COUNTIF(B11:C11,"学活")+COUNTIF(E11:F11,"特活")+COUNTIF(E11:F11,"学活")+COUNTIF(H11:I11,"特活")+COUNTIF(H11:I11,"学活")+COUNTIF(K11:L11,"特活")+COUNTIF(K11:L11,"学活")+COUNTIF(N11:O11,"特活")+COUNTIF(N11:O11,"学活")+COUNTIF(B13:C13,"特活")+COUNTIF(B13:C13,"学活")+COUNTIF(E13:F13,"特活")+COUNTIF(E13:F13,"学活")+COUNTIF(H13:I13,"特活")+COUNTIF(H13:I13,"学活")+COUNTIF(K13:L13,"特活")+COUNTIF(K13:L13,"学活")+COUNTIF(N13:O13,"特活")+COUNTIF(N13:O13,"学活")+COUNTIF(B15:C15,"特活")+COUNTIF(B15:C15,"学活")+COUNTIF(E15:F15,"特活")+COUNTIF(E15:F15,"学活")+COUNTIF(H15:I15,"特活")+COUNTIF(H15:I15,"学活")+COUNTIF(K15:L15,"特活")+COUNTIF(K15:L15,"学活")+COUNTIF(N15:O15,"特活")+COUNTIF(N15:O15,"学活")+COUNTIF(B17:C17,"特活")+COUNTIF(B17:C17,"学活")+COUNTIF(E17:F17,"特活")+COUNTIF(E17:F17,"学活")+COUNTIF(H17:I17,"特活")+COUNTIF(H17:I17,"学活")+COUNTIF(K17:L17,"特活")+COUNTIF(K17:L17,"学活")+COUNTIF(N17:O17,"特活")+COUNTIF(N17:O17,"学活")=0,"",COUNTIF(B5:C5,"特活")+COUNTIF(B5:C5,"学活")+COUNTIF(E5:F5,"特活")+COUNTIF(E5:F5,"学活")+COUNTIF(H5:I5,"特活")+COUNTIF(H5:I5,"学活")+COUNTIF(K5:L5,"特活")+COUNTIF(K5:L5,"学活")+COUNTIF(N5:O5,"特活")+COUNTIF(N5:O5,"学活")+COUNTIF(B7:C7,"特活")+COUNTIF(B7:C7,"学活")+COUNTIF(E7:F7,"特活")+COUNTIF(E7:F7,"学活")+COUNTIF(H7:I7,"特活")+COUNTIF(H7:I7,"学活")+COUNTIF(K7:L7,"特活")+COUNTIF(K7:L7,"学活")+COUNTIF(N7:O7,"特活")+COUNTIF(N7:O7,"学活")+COUNTIF(B9:C9,"特活")+COUNTIF(B9:C9,"学活")+COUNTIF(E9:F9,"特活")+COUNTIF(E9:F9,"学活")+COUNTIF(H9:I9,"特活")+COUNTIF(H9:I9,"学活")+COUNTIF(K9:L9,"特活")+COUNTIF(K9:L9,"学活")+COUNTIF(N9:O9,"特活")+COUNTIF(N9:O9,"学活")+COUNTIF(B11:C11,"特活")+COUNTIF(B11:C11,"学活")+COUNTIF(E11:F11,"特活")+COUNTIF(E11:F11,"学活")+COUNTIF(H11:I11,"特活")+COUNTIF(H11:I11,"学活")+COUNTIF(K11:L11,"特活")+COUNTIF(K11:L11,"学活")+COUNTIF(N11:O11,"特活")+COUNTIF(N11:O11,"学活")+COUNTIF(B13:C13,"特活")+COUNTIF(B13:C13,"学活")+COUNTIF(E13:F13,"特活")+COUNTIF(E13:F13,"学活")+COUNTIF(H13:I13,"特活")+COUNTIF(H13:I13,"学活")+COUNTIF(K13:L13,"特活")+COUNTIF(K13:L13,"学活")+COUNTIF(N13:O13,"特活")+COUNTIF(N13:O13,"学活")+COUNTIF(B15:C15,"特活")+COUNTIF(B15:C15,"学活")+COUNTIF(E15:F15,"特活")+COUNTIF(E15:F15,"学活")+COUNTIF(H15:I15,"特活")+COUNTIF(H15:I15,"学活")+COUNTIF(K15:L15,"特活")+COUNTIF(K15:L15,"学活")+COUNTIF(N15:O15,"特活")+COUNTIF(N15:O15,"学活")+COUNTIF(B17:C17,"特活")+COUNTIF(B17:C17,"学活")+COUNTIF(E17:F17,"特活")+COUNTIF(E17:F17,"学活")+COUNTIF(H17:I17,"特活")+COUNTIF(H17:I17,"学活")+COUNTIF(K17:L17,"特活")+COUNTIF(K17:L17,"学活")+COUNTIF(N17:O17,"特活")+COUNTIF(N17:O17,"学活"))</f>
        <v/>
      </c>
      <c r="N24" s="21">
        <f>IF(COUNTIF(B5:C5,N21)+COUNTIF(B5:C5,"*,"&amp;N21&amp;",*")+COUNTIF(E5:F5,N21)+COUNTIF(E5:F5,"*,"&amp;N21&amp;",*")+COUNTIF(H5:I5,N21)+COUNTIF(H5:I5,"*,"&amp;N21&amp;",*")+COUNTIF(K5:L5,N21)+COUNTIF(K5:L5,"*,"&amp;N21&amp;",*")+COUNTIF(N5:O5,N21)+COUNTIF(N5:O5,"*,"&amp;N21&amp;",*")+COUNTIF(B7:C7,N21)+COUNTIF(B7:C7,"*,"&amp;N21&amp;",*")+COUNTIF(E7:F7,N21)+COUNTIF(E7:F7,"*,"&amp;N21&amp;",*")+COUNTIF(H7:I7,N21)+COUNTIF(H7:I7,"*,"&amp;N21&amp;",*")+COUNTIF(K7:L7,N21)+COUNTIF(K7:L7,"*,"&amp;N21&amp;",*")+COUNTIF(N7:O7,N21)+COUNTIF(N7:O7,"*,"&amp;N21&amp;",*")+COUNTIF(B9:C9,N21)+COUNTIF(B9:C9,"*,"&amp;N21&amp;",*")+COUNTIF(E9:F9,N21)+COUNTIF(E9:F9,"*,"&amp;N21&amp;",*")+COUNTIF(H9:I9,N21)+COUNTIF(H9:I9,"*,"&amp;N21&amp;",*")+COUNTIF(K9:L9,N21)+COUNTIF(K9:L9,"*,"&amp;N21&amp;",*")+COUNTIF(N9:O9,N21)+COUNTIF(N9:O9,"*,"&amp;N21&amp;",*")+COUNTIF(B11:C11,N21)+COUNTIF(B11:C11,"*,"&amp;N21&amp;",*")+COUNTIF(E11:F11,N21)+COUNTIF(E11:F11,"*,"&amp;N21&amp;",*")+COUNTIF(H11:I11,N21)+COUNTIF(H11:I11,"*,"&amp;N21&amp;",*")+COUNTIF(K11:L11,N21)+COUNTIF(K11:L11,"*,"&amp;N21&amp;",*")+COUNTIF(N11:O11,N21)+COUNTIF(N11:O11,"*,"&amp;N21&amp;",*")+COUNTIF(B13:C13,N21)+COUNTIF(B13:C13,"*,"&amp;N21&amp;",*")+COUNTIF(E13:F13,N21)+COUNTIF(E13:F13,"*,"&amp;N21&amp;",*")+COUNTIF(H13:I13,N21)+COUNTIF(H13:I13,"*,"&amp;N21&amp;",*")+COUNTIF(K13:L13,N21)+COUNTIF(K13:L13,"*,"&amp;N21&amp;",*")+COUNTIF(N13:O13,N21)+COUNTIF(N13:O13,"*,"&amp;N21&amp;",*")+COUNTIF(B15:C15,N21)+COUNTIF(B15:C15,"*,"&amp;N21&amp;",*")+COUNTIF(E15:F15,N21)+COUNTIF(E15:F15,"*,"&amp;N21&amp;",*")+COUNTIF(H15:I15,N21)+COUNTIF(H15:I15,"*,"&amp;N21&amp;",*")+COUNTIF(K15:L15,N21)+COUNTIF(K15:L15,"*,"&amp;N21&amp;",*")+COUNTIF(N15:O15,N21)+COUNTIF(N15:O15,"*,"&amp;N21&amp;",*")+COUNTIF(B17:C17,N21)+COUNTIF(B17:C17,"*,"&amp;N21&amp;",*")+COUNTIF(E17:F17,N21)+COUNTIF(E17:F17,"*,"&amp;N21&amp;",*")+COUNTIF(H17:I17,N21)+COUNTIF(H17:I17,"*,"&amp;N21&amp;",*")+COUNTIF(K17:L17,N21)+COUNTIF(K17:L17,"*,"&amp;N21&amp;",*")+COUNTIF(N17:O17,N21)+COUNTIF(N17:O17,"*,"&amp;N21&amp;",*")=0,"",COUNTIF(B5:C5,N21)+COUNTIF(B5:C5,"*,"&amp;N21&amp;",*")+COUNTIF(E5:F5,N21)+COUNTIF(E5:F5,"*,"&amp;N21&amp;",*")+COUNTIF(H5:I5,N21)+COUNTIF(H5:I5,"*,"&amp;N21&amp;",*")+COUNTIF(K5:L5,N21)+COUNTIF(K5:L5,"*,"&amp;N21&amp;",*")+COUNTIF(N5:O5,N21)+COUNTIF(N5:O5,"*,"&amp;N21&amp;",*")+COUNTIF(B7:C7,N21)+COUNTIF(B7:C7,"*,"&amp;N21&amp;",*")+COUNTIF(E7:F7,N21)+COUNTIF(E7:F7,"*,"&amp;N21&amp;",*")+COUNTIF(H7:I7,N21)+COUNTIF(H7:I7,"*,"&amp;N21&amp;",*")+COUNTIF(K7:L7,N21)+COUNTIF(K7:L7,"*,"&amp;N21&amp;",*")+COUNTIF(N7:O7,N21)+COUNTIF(N7:O7,"*,"&amp;N21&amp;",*")+COUNTIF(B9:C9,N21)+COUNTIF(B9:C9,"*,"&amp;N21&amp;",*")+COUNTIF(E9:F9,N21)+COUNTIF(E9:F9,"*,"&amp;N21&amp;",*")+COUNTIF(H9:I9,N21)+COUNTIF(H9:I9,"*,"&amp;N21&amp;",*")+COUNTIF(K9:L9,N21)+COUNTIF(K9:L9,"*,"&amp;N21&amp;",*")+COUNTIF(N9:O9,N21)+COUNTIF(N9:O9,"*,"&amp;N21&amp;",*")+COUNTIF(B11:C11,N21)+COUNTIF(B11:C11,"*,"&amp;N21&amp;",*")+COUNTIF(E11:F11,N21)+COUNTIF(E11:F11,"*,"&amp;N21&amp;",*")+COUNTIF(H11:I11,N21)+COUNTIF(H11:I11,"*,"&amp;N21&amp;",*")+COUNTIF(K11:L11,N21)+COUNTIF(K11:L11,"*,"&amp;N21&amp;",*")+COUNTIF(N11:O11,N21)+COUNTIF(N11:O11,"*,"&amp;N21&amp;",*")+COUNTIF(B13:C13,N21)+COUNTIF(B13:C13,"*,"&amp;N21&amp;",*")+COUNTIF(E13:F13,N21)+COUNTIF(E13:F13,"*,"&amp;N21&amp;",*")+COUNTIF(H13:I13,N21)+COUNTIF(H13:I13,"*,"&amp;N21&amp;",*")+COUNTIF(K13:L13,N21)+COUNTIF(K13:L13,"*,"&amp;N21&amp;",*")+COUNTIF(N13:O13,N21)+COUNTIF(N13:O13,"*,"&amp;N21&amp;",*")+COUNTIF(B15:C15,N21)+COUNTIF(B15:C15,"*,"&amp;N21&amp;",*")+COUNTIF(E15:F15,N21)+COUNTIF(E15:F15,"*,"&amp;N21&amp;",*")+COUNTIF(H15:I15,N21)+COUNTIF(H15:I15,"*,"&amp;N21&amp;",*")+COUNTIF(K15:L15,N21)+COUNTIF(K15:L15,"*,"&amp;N21&amp;",*")+COUNTIF(N15:O15,N21)+COUNTIF(N15:O15,"*,"&amp;N21&amp;",*")+COUNTIF(B17:C17,N21)+COUNTIF(B17:C17,"*,"&amp;N21&amp;",*")+COUNTIF(E17:F17,N21)+COUNTIF(E17:F17,"*,"&amp;N21&amp;",*")+COUNTIF(H17:I17,N21)+COUNTIF(H17:I17,"*,"&amp;N21&amp;",*")+COUNTIF(K17:L17,N21)+COUNTIF(K17:L17,"*,"&amp;N21&amp;",*")+COUNTIF(N17:O17,N21)+COUNTIF(N17:O17,"*,"&amp;N21&amp;",*"))</f>
        <v/>
      </c>
      <c r="O24" s="21">
        <f>IF(COUNTIF(B5:C5,O21)+COUNTIF(B5:C5,"*,"&amp;O21&amp;",*")+COUNTIF(E5:F5,O21)+COUNTIF(E5:F5,"*,"&amp;O21&amp;",*")+COUNTIF(H5:I5,O21)+COUNTIF(H5:I5,"*,"&amp;O21&amp;",*")+COUNTIF(K5:L5,O21)+COUNTIF(K5:L5,"*,"&amp;O21&amp;",*")+COUNTIF(N5:O5,O21)+COUNTIF(N5:O5,"*,"&amp;O21&amp;",*")+COUNTIF(B7:C7,O21)+COUNTIF(B7:C7,"*,"&amp;O21&amp;",*")+COUNTIF(E7:F7,O21)+COUNTIF(E7:F7,"*,"&amp;O21&amp;",*")+COUNTIF(H7:I7,O21)+COUNTIF(H7:I7,"*,"&amp;O21&amp;",*")+COUNTIF(K7:L7,O21)+COUNTIF(K7:L7,"*,"&amp;O21&amp;",*")+COUNTIF(N7:O7,O21)+COUNTIF(N7:O7,"*,"&amp;O21&amp;",*")+COUNTIF(B9:C9,O21)+COUNTIF(B9:C9,"*,"&amp;O21&amp;",*")+COUNTIF(E9:F9,O21)+COUNTIF(E9:F9,"*,"&amp;O21&amp;",*")+COUNTIF(H9:I9,O21)+COUNTIF(H9:I9,"*,"&amp;O21&amp;",*")+COUNTIF(K9:L9,O21)+COUNTIF(K9:L9,"*,"&amp;O21&amp;",*")+COUNTIF(N9:O9,O21)+COUNTIF(N9:O9,"*,"&amp;O21&amp;",*")+COUNTIF(B11:C11,O21)+COUNTIF(B11:C11,"*,"&amp;O21&amp;",*")+COUNTIF(E11:F11,O21)+COUNTIF(E11:F11,"*,"&amp;O21&amp;",*")+COUNTIF(H11:I11,O21)+COUNTIF(H11:I11,"*,"&amp;O21&amp;",*")+COUNTIF(K11:L11,O21)+COUNTIF(K11:L11,"*,"&amp;O21&amp;",*")+COUNTIF(N11:O11,O21)+COUNTIF(N11:O11,"*,"&amp;O21&amp;",*")+COUNTIF(B13:C13,O21)+COUNTIF(B13:C13,"*,"&amp;O21&amp;",*")+COUNTIF(E13:F13,O21)+COUNTIF(E13:F13,"*,"&amp;O21&amp;",*")+COUNTIF(H13:I13,O21)+COUNTIF(H13:I13,"*,"&amp;O21&amp;",*")+COUNTIF(K13:L13,O21)+COUNTIF(K13:L13,"*,"&amp;O21&amp;",*")+COUNTIF(N13:O13,O21)+COUNTIF(N13:O13,"*,"&amp;O21&amp;",*")+COUNTIF(B15:C15,O21)+COUNTIF(B15:C15,"*,"&amp;O21&amp;",*")+COUNTIF(E15:F15,O21)+COUNTIF(E15:F15,"*,"&amp;O21&amp;",*")+COUNTIF(H15:I15,O21)+COUNTIF(H15:I15,"*,"&amp;O21&amp;",*")+COUNTIF(K15:L15,O21)+COUNTIF(K15:L15,"*,"&amp;O21&amp;",*")+COUNTIF(N15:O15,O21)+COUNTIF(N15:O15,"*,"&amp;O21&amp;",*")+COUNTIF(B17:C17,O21)+COUNTIF(B17:C17,"*,"&amp;O21&amp;",*")+COUNTIF(E17:F17,O21)+COUNTIF(E17:F17,"*,"&amp;O21&amp;",*")+COUNTIF(H17:I17,O21)+COUNTIF(H17:I17,"*,"&amp;O21&amp;",*")+COUNTIF(K17:L17,O21)+COUNTIF(K17:L17,"*,"&amp;O21&amp;",*")+COUNTIF(N17:O17,O21)+COUNTIF(N17:O17,"*,"&amp;O21&amp;",*")=0,"",COUNTIF(B5:C5,O21)+COUNTIF(B5:C5,"*,"&amp;O21&amp;",*")+COUNTIF(E5:F5,O21)+COUNTIF(E5:F5,"*,"&amp;O21&amp;",*")+COUNTIF(H5:I5,O21)+COUNTIF(H5:I5,"*,"&amp;O21&amp;",*")+COUNTIF(K5:L5,O21)+COUNTIF(K5:L5,"*,"&amp;O21&amp;",*")+COUNTIF(N5:O5,O21)+COUNTIF(N5:O5,"*,"&amp;O21&amp;",*")+COUNTIF(B7:C7,O21)+COUNTIF(B7:C7,"*,"&amp;O21&amp;",*")+COUNTIF(E7:F7,O21)+COUNTIF(E7:F7,"*,"&amp;O21&amp;",*")+COUNTIF(H7:I7,O21)+COUNTIF(H7:I7,"*,"&amp;O21&amp;",*")+COUNTIF(K7:L7,O21)+COUNTIF(K7:L7,"*,"&amp;O21&amp;",*")+COUNTIF(N7:O7,O21)+COUNTIF(N7:O7,"*,"&amp;O21&amp;",*")+COUNTIF(B9:C9,O21)+COUNTIF(B9:C9,"*,"&amp;O21&amp;",*")+COUNTIF(E9:F9,O21)+COUNTIF(E9:F9,"*,"&amp;O21&amp;",*")+COUNTIF(H9:I9,O21)+COUNTIF(H9:I9,"*,"&amp;O21&amp;",*")+COUNTIF(K9:L9,O21)+COUNTIF(K9:L9,"*,"&amp;O21&amp;",*")+COUNTIF(N9:O9,O21)+COUNTIF(N9:O9,"*,"&amp;O21&amp;",*")+COUNTIF(B11:C11,O21)+COUNTIF(B11:C11,"*,"&amp;O21&amp;",*")+COUNTIF(E11:F11,O21)+COUNTIF(E11:F11,"*,"&amp;O21&amp;",*")+COUNTIF(H11:I11,O21)+COUNTIF(H11:I11,"*,"&amp;O21&amp;",*")+COUNTIF(K11:L11,O21)+COUNTIF(K11:L11,"*,"&amp;O21&amp;",*")+COUNTIF(N11:O11,O21)+COUNTIF(N11:O11,"*,"&amp;O21&amp;",*")+COUNTIF(B13:C13,O21)+COUNTIF(B13:C13,"*,"&amp;O21&amp;",*")+COUNTIF(E13:F13,O21)+COUNTIF(E13:F13,"*,"&amp;O21&amp;",*")+COUNTIF(H13:I13,O21)+COUNTIF(H13:I13,"*,"&amp;O21&amp;",*")+COUNTIF(K13:L13,O21)+COUNTIF(K13:L13,"*,"&amp;O21&amp;",*")+COUNTIF(N13:O13,O21)+COUNTIF(N13:O13,"*,"&amp;O21&amp;",*")+COUNTIF(B15:C15,O21)+COUNTIF(B15:C15,"*,"&amp;O21&amp;",*")+COUNTIF(E15:F15,O21)+COUNTIF(E15:F15,"*,"&amp;O21&amp;",*")+COUNTIF(H15:I15,O21)+COUNTIF(H15:I15,"*,"&amp;O21&amp;",*")+COUNTIF(K15:L15,O21)+COUNTIF(K15:L15,"*,"&amp;O21&amp;",*")+COUNTIF(N15:O15,O21)+COUNTIF(N15:O15,"*,"&amp;O21&amp;",*")+COUNTIF(B17:C17,O21)+COUNTIF(B17:C17,"*,"&amp;O21&amp;",*")+COUNTIF(E17:F17,O21)+COUNTIF(E17:F17,"*,"&amp;O21&amp;",*")+COUNTIF(H17:I17,O21)+COUNTIF(H17:I17,"*,"&amp;O21&amp;",*")+COUNTIF(K17:L17,O21)+COUNTIF(K17:L17,"*,"&amp;O21&amp;",*")+COUNTIF(N17:O17,O21)+COUNTIF(N17:O17,"*,"&amp;O21&amp;",*"))</f>
        <v/>
      </c>
      <c r="P24" s="22">
        <f>IF(SUM(B24:O24)=0,"",SUM(B24:O24))</f>
        <v/>
      </c>
    </row>
    <row r="25" spans="1:16" ht="13.5" customHeight="1" x14ac:dyDescent="0.2">
      <c r="A25" s="23" t="s">
        <v>52</v>
      </c>
      <c r="B25" s="26"/>
      <c r="C25" s="26"/>
      <c r="D25" s="26"/>
      <c r="E25" s="26"/>
      <c r="F25" s="26"/>
      <c r="G25" s="26"/>
      <c r="H25" s="26"/>
      <c r="I25" s="26"/>
      <c r="J25" s="26"/>
      <c r="K25" s="26"/>
      <c r="L25" s="26"/>
      <c r="M25" s="26"/>
      <c r="N25" s="26"/>
      <c r="O25" s="24"/>
      <c r="P25" s="18">
        <f>IF(SUM(B25:O25)=0,"",SUM(B25:O25))</f>
        <v/>
      </c>
    </row>
  </sheetData>
  <sheetProtection sheet="1" objects="1" scenarios="1"/>
  <mergeCells count="104">
    <mergeCell ref="N19:P19"/>
    <mergeCell ref="A23:A24"/>
    <mergeCell ref="N17:O17"/>
    <mergeCell ref="B18:D18"/>
    <mergeCell ref="E18:G18"/>
    <mergeCell ref="H18:J18"/>
    <mergeCell ref="K18:M18"/>
    <mergeCell ref="N18:P18"/>
    <mergeCell ref="A17:A18"/>
    <mergeCell ref="B17:C17"/>
    <mergeCell ref="E17:F17"/>
    <mergeCell ref="H17:I17"/>
    <mergeCell ref="K17:L17"/>
    <mergeCell ref="B19:D19"/>
    <mergeCell ref="E19:G19"/>
    <mergeCell ref="H19:J19"/>
    <mergeCell ref="K19:M19"/>
    <mergeCell ref="A15:A16"/>
    <mergeCell ref="B15:C15"/>
    <mergeCell ref="E15:F15"/>
    <mergeCell ref="H15:I15"/>
    <mergeCell ref="K15:L15"/>
    <mergeCell ref="N15:O15"/>
    <mergeCell ref="B16:D16"/>
    <mergeCell ref="E16:G16"/>
    <mergeCell ref="H16:J16"/>
    <mergeCell ref="K16:M16"/>
    <mergeCell ref="N16:P16"/>
    <mergeCell ref="A13:A14"/>
    <mergeCell ref="B13:C13"/>
    <mergeCell ref="E13:F13"/>
    <mergeCell ref="H13:I13"/>
    <mergeCell ref="K13:L13"/>
    <mergeCell ref="N13:O13"/>
    <mergeCell ref="B14:D14"/>
    <mergeCell ref="E14:G14"/>
    <mergeCell ref="H14:J14"/>
    <mergeCell ref="K14:M14"/>
    <mergeCell ref="N14:P14"/>
    <mergeCell ref="A11:A12"/>
    <mergeCell ref="B11:C11"/>
    <mergeCell ref="E11:F11"/>
    <mergeCell ref="H11:I11"/>
    <mergeCell ref="K11:L11"/>
    <mergeCell ref="N11:O11"/>
    <mergeCell ref="B12:D12"/>
    <mergeCell ref="E12:G12"/>
    <mergeCell ref="H12:J12"/>
    <mergeCell ref="K12:M12"/>
    <mergeCell ref="N12:P12"/>
    <mergeCell ref="N8:P8"/>
    <mergeCell ref="A9:A10"/>
    <mergeCell ref="B9:C9"/>
    <mergeCell ref="E9:F9"/>
    <mergeCell ref="H9:I9"/>
    <mergeCell ref="K9:L9"/>
    <mergeCell ref="N9:O9"/>
    <mergeCell ref="B10:D10"/>
    <mergeCell ref="E10:G10"/>
    <mergeCell ref="H10:J10"/>
    <mergeCell ref="A7:A8"/>
    <mergeCell ref="B7:C7"/>
    <mergeCell ref="E7:F7"/>
    <mergeCell ref="H7:I7"/>
    <mergeCell ref="K7:L7"/>
    <mergeCell ref="N7:O7"/>
    <mergeCell ref="B8:D8"/>
    <mergeCell ref="E8:G8"/>
    <mergeCell ref="H8:J8"/>
    <mergeCell ref="K8:M8"/>
    <mergeCell ref="K10:M10"/>
    <mergeCell ref="N10:P10"/>
    <mergeCell ref="A5:A6"/>
    <mergeCell ref="B5:C5"/>
    <mergeCell ref="E5:F5"/>
    <mergeCell ref="H5:I5"/>
    <mergeCell ref="K5:L5"/>
    <mergeCell ref="N2:P2"/>
    <mergeCell ref="B3:D3"/>
    <mergeCell ref="E3:G3"/>
    <mergeCell ref="H3:J3"/>
    <mergeCell ref="K3:M3"/>
    <mergeCell ref="N3:P3"/>
    <mergeCell ref="N5:O5"/>
    <mergeCell ref="B6:D6"/>
    <mergeCell ref="E6:G6"/>
    <mergeCell ref="H6:J6"/>
    <mergeCell ref="K6:M6"/>
    <mergeCell ref="N6:P6"/>
    <mergeCell ref="B4:D4"/>
    <mergeCell ref="E4:G4"/>
    <mergeCell ref="H4:J4"/>
    <mergeCell ref="K4:M4"/>
    <mergeCell ref="N4:P4"/>
    <mergeCell ref="A1:G1"/>
    <mergeCell ref="I1:J1"/>
    <mergeCell ref="K1:L1"/>
    <mergeCell ref="M1:N1"/>
    <mergeCell ref="O1:P1"/>
    <mergeCell ref="A2:A3"/>
    <mergeCell ref="B2:D2"/>
    <mergeCell ref="E2:G2"/>
    <mergeCell ref="H2:J2"/>
    <mergeCell ref="K2:M2"/>
  </mergeCells>
  <phoneticPr fontId="5"/>
  <dataValidations count="1">
    <dataValidation type="list" allowBlank="1" showInputMessage="1" sqref="D5 P17 M17 J17 G17 D17 P15 M15 J15 G15 D15 P13 M13 J13 G13 D13 P11 M11 J11 G11 D11 P9 M9 J9 G9 D9 P7 M7 J7 G7 D7 P5 M5 J5 G5" xr:uid="{B1411A91-52A8-467C-A4CD-9B250E58ABD0}">
      <formula1>"×,月1,月2,月3,月4,月5,月6,月7,火1,火2,火3,火4,火5,火6,火7,水1,水2,水3,水4,水5,水6,水7,木1,木2,木3,木4,木5,木6,木7,金1,金2,金3,金4,金5,金6,金7"</formula1>
    </dataValidation>
  </dataValidations>
  <printOptions horizontalCentered="1"/>
  <pageMargins left="0.78740157480314965" right="0.78740157480314965" top="0.78740157480314965" bottom="0.78740157480314965" header="0" footer="0"/>
  <pageSetup paperSize="9" scale="93"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tn_0">
              <controlPr defaultSize="0" print="0" autoFill="0" autoPict="0" macro="[0]!ボタン_新しい週">
                <anchor moveWithCells="1" sizeWithCells="1">
                  <from>
                    <xdr:col>17</xdr:col>
                    <xdr:colOff>60960</xdr:colOff>
                    <xdr:row>3</xdr:row>
                    <xdr:rowOff>30480</xdr:rowOff>
                  </from>
                  <to>
                    <xdr:col>18</xdr:col>
                    <xdr:colOff>533400</xdr:colOff>
                    <xdr:row>3</xdr:row>
                    <xdr:rowOff>335280</xdr:rowOff>
                  </to>
                </anchor>
              </controlPr>
            </control>
          </mc:Choice>
        </mc:AlternateContent>
        <mc:AlternateContent xmlns:mc="http://schemas.openxmlformats.org/markup-compatibility/2006">
          <mc:Choice Requires="x14">
            <control shapeId="13314" r:id="rId5" name="Btn_1">
              <controlPr defaultSize="0" print="0" autoFill="0" autoPict="0" macro="[0]!ボタン_時間割展開">
                <anchor moveWithCells="1" sizeWithCells="1">
                  <from>
                    <xdr:col>17</xdr:col>
                    <xdr:colOff>60960</xdr:colOff>
                    <xdr:row>3</xdr:row>
                    <xdr:rowOff>441960</xdr:rowOff>
                  </from>
                  <to>
                    <xdr:col>18</xdr:col>
                    <xdr:colOff>533400</xdr:colOff>
                    <xdr:row>4</xdr:row>
                    <xdr:rowOff>45720</xdr:rowOff>
                  </to>
                </anchor>
              </controlPr>
            </control>
          </mc:Choice>
        </mc:AlternateContent>
        <mc:AlternateContent xmlns:mc="http://schemas.openxmlformats.org/markup-compatibility/2006">
          <mc:Choice Requires="x14">
            <control shapeId="13315" r:id="rId6" name="Btn_2">
              <controlPr defaultSize="0" print="0" autoFill="0" autoPict="0" macro="[0]!ボタン_累計更新">
                <anchor moveWithCells="1" sizeWithCells="1">
                  <from>
                    <xdr:col>17</xdr:col>
                    <xdr:colOff>60960</xdr:colOff>
                    <xdr:row>4</xdr:row>
                    <xdr:rowOff>144780</xdr:rowOff>
                  </from>
                  <to>
                    <xdr:col>18</xdr:col>
                    <xdr:colOff>533400</xdr:colOff>
                    <xdr:row>5</xdr:row>
                    <xdr:rowOff>220980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xr:uid="{B49E46F7-0B10-4B62-B746-E538C66D7EF0}">
          <x14:formula1>
            <xm:f>基本設定!$B$6:$B$20</xm:f>
          </x14:formula1>
          <xm:sqref>B5 N19 K19 H19 E19 B19 N17 K17 H17 E17 B17 N15 K15 H15 E15 B15 N13 K13 H13 E13 B13 N11 K11 H11 E11 B11 N9 K9 H9 E9 B9 N7 K7 H7 E7 B7 N5 K5 H5 E5</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96DD2B-CC6B-4EA0-82DE-2D6CCF51E5B7}">
  <sheetPr codeName="Sheet10">
    <tabColor rgb="FFC0392B"/>
    <pageSetUpPr fitToPage="1"/>
  </sheetPr>
  <dimension ref="A1:P25"/>
  <sheetViews>
    <sheetView workbookViewId="0">
      <selection sqref="A1:G1"/>
    </sheetView>
  </sheetViews>
  <sheetFormatPr defaultColWidth="8.77734375" defaultRowHeight="13.2" x14ac:dyDescent="0.2"/>
  <cols>
    <col min="1" max="1" width="5.44140625" customWidth="1"/>
    <col min="2" max="16" width="5.77734375" customWidth="1"/>
  </cols>
  <sheetData>
    <row r="1" spans="1:16" ht="50.1" customHeight="1" x14ac:dyDescent="0.2">
      <c r="A1" s="51" t="s">
        <v>34</v>
      </c>
      <c r="B1" s="52"/>
      <c r="C1" s="52"/>
      <c r="D1" s="52"/>
      <c r="E1" s="52"/>
      <c r="F1" s="52"/>
      <c r="G1" s="52"/>
      <c r="H1" s="8" t="s">
        <v>35</v>
      </c>
      <c r="I1" s="53" t="s">
        <v>36</v>
      </c>
      <c r="J1" s="54"/>
      <c r="K1" s="53" t="s">
        <v>37</v>
      </c>
      <c r="L1" s="54"/>
      <c r="M1" s="53" t="s">
        <v>38</v>
      </c>
      <c r="N1" s="54"/>
      <c r="O1" s="53" t="s">
        <v>39</v>
      </c>
      <c r="P1" s="54"/>
    </row>
    <row r="2" spans="1:16" ht="15.6" customHeight="1" x14ac:dyDescent="0.2">
      <c r="A2" s="55" t="s">
        <v>40</v>
      </c>
      <c r="B2" s="57" t="s">
        <v>29</v>
      </c>
      <c r="C2" s="57"/>
      <c r="D2" s="57"/>
      <c r="E2" s="59" t="s">
        <v>30</v>
      </c>
      <c r="F2" s="59"/>
      <c r="G2" s="59"/>
      <c r="H2" s="45" t="s">
        <v>31</v>
      </c>
      <c r="I2" s="45"/>
      <c r="J2" s="45"/>
      <c r="K2" s="47" t="s">
        <v>32</v>
      </c>
      <c r="L2" s="47"/>
      <c r="M2" s="47"/>
      <c r="N2" s="49" t="s">
        <v>33</v>
      </c>
      <c r="O2" s="49"/>
      <c r="P2" s="49"/>
    </row>
    <row r="3" spans="1:16" ht="15" customHeight="1" x14ac:dyDescent="0.2">
      <c r="A3" s="56"/>
      <c r="B3" s="58" t="s">
        <v>41</v>
      </c>
      <c r="C3" s="58"/>
      <c r="D3" s="58"/>
      <c r="E3" s="60" t="s">
        <v>42</v>
      </c>
      <c r="F3" s="60"/>
      <c r="G3" s="60"/>
      <c r="H3" s="46" t="s">
        <v>43</v>
      </c>
      <c r="I3" s="46"/>
      <c r="J3" s="46"/>
      <c r="K3" s="48" t="s">
        <v>44</v>
      </c>
      <c r="L3" s="48"/>
      <c r="M3" s="48"/>
      <c r="N3" s="50" t="s">
        <v>45</v>
      </c>
      <c r="O3" s="50"/>
      <c r="P3" s="50"/>
    </row>
    <row r="4" spans="1:16" ht="54.9" customHeight="1" x14ac:dyDescent="0.2">
      <c r="A4" s="9" t="s">
        <v>46</v>
      </c>
      <c r="B4" s="40"/>
      <c r="C4" s="40"/>
      <c r="D4" s="40"/>
      <c r="E4" s="41"/>
      <c r="F4" s="41"/>
      <c r="G4" s="41"/>
      <c r="H4" s="42"/>
      <c r="I4" s="42"/>
      <c r="J4" s="42"/>
      <c r="K4" s="43"/>
      <c r="L4" s="43"/>
      <c r="M4" s="43"/>
      <c r="N4" s="44"/>
      <c r="O4" s="44"/>
      <c r="P4" s="44"/>
    </row>
    <row r="5" spans="1:16" ht="18" customHeight="1" x14ac:dyDescent="0.2">
      <c r="A5" s="39">
        <v>1</v>
      </c>
      <c r="B5" s="37"/>
      <c r="C5" s="37"/>
      <c r="D5" s="25"/>
      <c r="E5" s="37"/>
      <c r="F5" s="37"/>
      <c r="G5" s="25"/>
      <c r="H5" s="37"/>
      <c r="I5" s="37"/>
      <c r="J5" s="25"/>
      <c r="K5" s="37"/>
      <c r="L5" s="37"/>
      <c r="M5" s="25"/>
      <c r="N5" s="37"/>
      <c r="O5" s="37"/>
      <c r="P5" s="25"/>
    </row>
    <row r="6" spans="1:16" ht="62.1" customHeight="1" x14ac:dyDescent="0.2">
      <c r="A6" s="39"/>
      <c r="B6" s="38"/>
      <c r="C6" s="38"/>
      <c r="D6" s="38"/>
      <c r="E6" s="38"/>
      <c r="F6" s="38"/>
      <c r="G6" s="38"/>
      <c r="H6" s="38"/>
      <c r="I6" s="38"/>
      <c r="J6" s="38"/>
      <c r="K6" s="38"/>
      <c r="L6" s="38"/>
      <c r="M6" s="38"/>
      <c r="N6" s="38"/>
      <c r="O6" s="38"/>
      <c r="P6" s="38"/>
    </row>
    <row r="7" spans="1:16" ht="18" customHeight="1" x14ac:dyDescent="0.2">
      <c r="A7" s="39">
        <v>2</v>
      </c>
      <c r="B7" s="37"/>
      <c r="C7" s="37"/>
      <c r="D7" s="25"/>
      <c r="E7" s="37"/>
      <c r="F7" s="37"/>
      <c r="G7" s="25"/>
      <c r="H7" s="37"/>
      <c r="I7" s="37"/>
      <c r="J7" s="25"/>
      <c r="K7" s="37"/>
      <c r="L7" s="37"/>
      <c r="M7" s="25"/>
      <c r="N7" s="37"/>
      <c r="O7" s="37"/>
      <c r="P7" s="25"/>
    </row>
    <row r="8" spans="1:16" ht="62.1" customHeight="1" x14ac:dyDescent="0.2">
      <c r="A8" s="39"/>
      <c r="B8" s="38"/>
      <c r="C8" s="38"/>
      <c r="D8" s="38"/>
      <c r="E8" s="38"/>
      <c r="F8" s="38"/>
      <c r="G8" s="38"/>
      <c r="H8" s="38"/>
      <c r="I8" s="38"/>
      <c r="J8" s="38"/>
      <c r="K8" s="38"/>
      <c r="L8" s="38"/>
      <c r="M8" s="38"/>
      <c r="N8" s="38"/>
      <c r="O8" s="38"/>
      <c r="P8" s="38"/>
    </row>
    <row r="9" spans="1:16" ht="18" customHeight="1" x14ac:dyDescent="0.2">
      <c r="A9" s="39">
        <v>3</v>
      </c>
      <c r="B9" s="37"/>
      <c r="C9" s="37"/>
      <c r="D9" s="25"/>
      <c r="E9" s="37"/>
      <c r="F9" s="37"/>
      <c r="G9" s="25"/>
      <c r="H9" s="37"/>
      <c r="I9" s="37"/>
      <c r="J9" s="25"/>
      <c r="K9" s="37"/>
      <c r="L9" s="37"/>
      <c r="M9" s="25"/>
      <c r="N9" s="37"/>
      <c r="O9" s="37"/>
      <c r="P9" s="25"/>
    </row>
    <row r="10" spans="1:16" ht="62.1" customHeight="1" x14ac:dyDescent="0.2">
      <c r="A10" s="39"/>
      <c r="B10" s="38"/>
      <c r="C10" s="38"/>
      <c r="D10" s="38"/>
      <c r="E10" s="38"/>
      <c r="F10" s="38"/>
      <c r="G10" s="38"/>
      <c r="H10" s="38"/>
      <c r="I10" s="38"/>
      <c r="J10" s="38"/>
      <c r="K10" s="38"/>
      <c r="L10" s="38"/>
      <c r="M10" s="38"/>
      <c r="N10" s="38"/>
      <c r="O10" s="38"/>
      <c r="P10" s="38"/>
    </row>
    <row r="11" spans="1:16" ht="18" customHeight="1" x14ac:dyDescent="0.2">
      <c r="A11" s="39">
        <v>4</v>
      </c>
      <c r="B11" s="37"/>
      <c r="C11" s="37"/>
      <c r="D11" s="25"/>
      <c r="E11" s="37"/>
      <c r="F11" s="37"/>
      <c r="G11" s="25"/>
      <c r="H11" s="37"/>
      <c r="I11" s="37"/>
      <c r="J11" s="25"/>
      <c r="K11" s="37"/>
      <c r="L11" s="37"/>
      <c r="M11" s="25"/>
      <c r="N11" s="37"/>
      <c r="O11" s="37"/>
      <c r="P11" s="25"/>
    </row>
    <row r="12" spans="1:16" ht="62.1" customHeight="1" x14ac:dyDescent="0.2">
      <c r="A12" s="39"/>
      <c r="B12" s="38"/>
      <c r="C12" s="38"/>
      <c r="D12" s="38"/>
      <c r="E12" s="38"/>
      <c r="F12" s="38"/>
      <c r="G12" s="38"/>
      <c r="H12" s="38"/>
      <c r="I12" s="38"/>
      <c r="J12" s="38"/>
      <c r="K12" s="38"/>
      <c r="L12" s="38"/>
      <c r="M12" s="38"/>
      <c r="N12" s="38"/>
      <c r="O12" s="38"/>
      <c r="P12" s="38"/>
    </row>
    <row r="13" spans="1:16" ht="18" customHeight="1" x14ac:dyDescent="0.2">
      <c r="A13" s="39">
        <v>5</v>
      </c>
      <c r="B13" s="37"/>
      <c r="C13" s="37"/>
      <c r="D13" s="25"/>
      <c r="E13" s="37"/>
      <c r="F13" s="37"/>
      <c r="G13" s="25"/>
      <c r="H13" s="37"/>
      <c r="I13" s="37"/>
      <c r="J13" s="25"/>
      <c r="K13" s="37"/>
      <c r="L13" s="37"/>
      <c r="M13" s="25"/>
      <c r="N13" s="37"/>
      <c r="O13" s="37"/>
      <c r="P13" s="25"/>
    </row>
    <row r="14" spans="1:16" ht="62.1" customHeight="1" x14ac:dyDescent="0.2">
      <c r="A14" s="39"/>
      <c r="B14" s="38"/>
      <c r="C14" s="38"/>
      <c r="D14" s="38"/>
      <c r="E14" s="38"/>
      <c r="F14" s="38"/>
      <c r="G14" s="38"/>
      <c r="H14" s="38"/>
      <c r="I14" s="38"/>
      <c r="J14" s="38"/>
      <c r="K14" s="38"/>
      <c r="L14" s="38"/>
      <c r="M14" s="38"/>
      <c r="N14" s="38"/>
      <c r="O14" s="38"/>
      <c r="P14" s="38"/>
    </row>
    <row r="15" spans="1:16" ht="18" customHeight="1" x14ac:dyDescent="0.2">
      <c r="A15" s="39">
        <v>6</v>
      </c>
      <c r="B15" s="37"/>
      <c r="C15" s="37"/>
      <c r="D15" s="25"/>
      <c r="E15" s="37"/>
      <c r="F15" s="37"/>
      <c r="G15" s="25"/>
      <c r="H15" s="37"/>
      <c r="I15" s="37"/>
      <c r="J15" s="25"/>
      <c r="K15" s="37"/>
      <c r="L15" s="37"/>
      <c r="M15" s="25"/>
      <c r="N15" s="37"/>
      <c r="O15" s="37"/>
      <c r="P15" s="25"/>
    </row>
    <row r="16" spans="1:16" ht="62.1" customHeight="1" x14ac:dyDescent="0.2">
      <c r="A16" s="39"/>
      <c r="B16" s="38"/>
      <c r="C16" s="38"/>
      <c r="D16" s="38"/>
      <c r="E16" s="38"/>
      <c r="F16" s="38"/>
      <c r="G16" s="38"/>
      <c r="H16" s="38"/>
      <c r="I16" s="38"/>
      <c r="J16" s="38"/>
      <c r="K16" s="38"/>
      <c r="L16" s="38"/>
      <c r="M16" s="38"/>
      <c r="N16" s="38"/>
      <c r="O16" s="38"/>
      <c r="P16" s="38"/>
    </row>
    <row r="17" spans="1:16" ht="18" customHeight="1" x14ac:dyDescent="0.2">
      <c r="A17" s="39">
        <v>7</v>
      </c>
      <c r="B17" s="37"/>
      <c r="C17" s="37"/>
      <c r="D17" s="25"/>
      <c r="E17" s="37"/>
      <c r="F17" s="37"/>
      <c r="G17" s="25"/>
      <c r="H17" s="37"/>
      <c r="I17" s="37"/>
      <c r="J17" s="25"/>
      <c r="K17" s="37"/>
      <c r="L17" s="37"/>
      <c r="M17" s="25"/>
      <c r="N17" s="37"/>
      <c r="O17" s="37"/>
      <c r="P17" s="25"/>
    </row>
    <row r="18" spans="1:16" ht="62.1" customHeight="1" x14ac:dyDescent="0.2">
      <c r="A18" s="39"/>
      <c r="B18" s="38"/>
      <c r="C18" s="38"/>
      <c r="D18" s="38"/>
      <c r="E18" s="38"/>
      <c r="F18" s="38"/>
      <c r="G18" s="38"/>
      <c r="H18" s="38"/>
      <c r="I18" s="38"/>
      <c r="J18" s="38"/>
      <c r="K18" s="38"/>
      <c r="L18" s="38"/>
      <c r="M18" s="38"/>
      <c r="N18" s="38"/>
      <c r="O18" s="38"/>
      <c r="P18" s="38"/>
    </row>
    <row r="19" spans="1:16" ht="54.9" customHeight="1" x14ac:dyDescent="0.2">
      <c r="A19" s="10" t="s">
        <v>47</v>
      </c>
      <c r="B19" s="34"/>
      <c r="C19" s="34"/>
      <c r="D19" s="34"/>
      <c r="E19" s="34"/>
      <c r="F19" s="34"/>
      <c r="G19" s="34"/>
      <c r="H19" s="34"/>
      <c r="I19" s="34"/>
      <c r="J19" s="34"/>
      <c r="K19" s="34"/>
      <c r="L19" s="34"/>
      <c r="M19" s="34"/>
      <c r="N19" s="34"/>
      <c r="O19" s="34"/>
      <c r="P19" s="34"/>
    </row>
    <row r="20" spans="1:16" hidden="1" x14ac:dyDescent="0.2">
      <c r="A20" s="11"/>
      <c r="B20" s="11"/>
      <c r="C20" s="11"/>
      <c r="D20" s="11"/>
      <c r="E20" s="11"/>
      <c r="F20" s="11"/>
      <c r="G20" s="11"/>
      <c r="H20" s="11"/>
      <c r="I20" s="11"/>
      <c r="J20" s="11"/>
      <c r="K20" s="11"/>
      <c r="L20" s="11"/>
      <c r="M20" s="11"/>
      <c r="N20" s="11"/>
      <c r="O20" s="11"/>
      <c r="P20" s="11"/>
    </row>
    <row r="21" spans="1:16" ht="13.5" customHeight="1" x14ac:dyDescent="0.2">
      <c r="A21" s="12" t="s">
        <v>48</v>
      </c>
      <c r="B21" s="12">
        <f>IF(基本設定!B6="","",基本設定!B6)</f>
      </c>
      <c r="C21" s="12">
        <f>IF(基本設定!B7="","",基本設定!B7)</f>
      </c>
      <c r="D21" s="12">
        <f>IF(基本設定!B8="","",基本設定!B8)</f>
      </c>
      <c r="E21" s="12">
        <f>IF(基本設定!B9="","",基本設定!B9)</f>
      </c>
      <c r="F21" s="12">
        <f>IF(基本設定!B10="","",基本設定!B10)</f>
      </c>
      <c r="G21" s="12">
        <f>IF(基本設定!B11="","",基本設定!B11)</f>
      </c>
      <c r="H21" s="12"/>
      <c r="I21" s="12"/>
      <c r="J21" s="12"/>
      <c r="K21" s="12"/>
      <c r="L21" s="12"/>
      <c r="M21" s="13" t="s">
        <v>53</v>
      </c>
      <c r="N21" s="12" t="s">
        <v>20</v>
      </c>
      <c r="O21" s="12" t="s">
        <v>22</v>
      </c>
      <c r="P21" s="14" t="s">
        <v>49</v>
      </c>
    </row>
    <row r="22" spans="1:16" ht="13.5" customHeight="1" x14ac:dyDescent="0.2">
      <c r="A22" s="15" t="s">
        <v>50</v>
      </c>
      <c r="B22" s="16">
        <f>IF(B21="","",IFERROR(VALUE(VLOOKUP(B21,基本設定!$A$23:$B$35,2,FALSE())),""))</f>
      </c>
      <c r="C22" s="16">
        <f>IF(C21="","",IFERROR(VALUE(VLOOKUP(C21,基本設定!$A$23:$B$35,2,FALSE())),""))</f>
      </c>
      <c r="D22" s="16">
        <f>IF(D21="","",IFERROR(VALUE(VLOOKUP(D21,基本設定!$A$23:$B$35,2,FALSE())),""))</f>
      </c>
      <c r="E22" s="16">
        <f>IF(E21="","",IFERROR(VALUE(VLOOKUP(E21,基本設定!$A$23:$B$35,2,FALSE())),""))</f>
      </c>
      <c r="F22" s="16">
        <f>IF(F21="","",IFERROR(VALUE(VLOOKUP(F21,基本設定!$A$23:$B$35,2,FALSE())),""))</f>
      </c>
      <c r="G22" s="16">
        <f>IF(G21="","",IFERROR(VALUE(VLOOKUP(G21,基本設定!$A$23:$B$35,2,FALSE())),""))</f>
      </c>
      <c r="H22" s="17"/>
      <c r="I22" s="17"/>
      <c r="J22" s="17"/>
      <c r="K22" s="17"/>
      <c r="L22" s="17"/>
      <c r="M22" s="17">
        <v>1</v>
      </c>
      <c r="N22" s="17">
        <f>IF(N21="","",IFERROR(VALUE(VLOOKUP(N21,基本設定!$A$23:$B$35,2,FALSE())),""))</f>
      </c>
      <c r="O22" s="17">
        <f>IF(O21="","",IFERROR(VALUE(VLOOKUP(O21,基本設定!$A$23:$B$35,2,FALSE())),""))</f>
      </c>
      <c r="P22" s="18">
        <f>IF(SUM(B22:O22)=0,"",SUM(B22:O22))</f>
      </c>
    </row>
    <row r="23" spans="1:16" ht="13.5" customHeight="1" x14ac:dyDescent="0.2">
      <c r="A23" s="35" t="s">
        <v>51</v>
      </c>
      <c r="B23" s="19">
        <f>IF(B21="","",IF(B24="","",B24-(SUMPRODUCT((B5:C5=B21)*(D5="×"))+SUMPRODUCT((E5:F5=B21)*(G5="×"))+SUMPRODUCT((H5:I5=B21)*(J5="×"))+SUMPRODUCT((K5:L5=B21)*(M5="×"))+SUMPRODUCT((N5:O5=B21)*(P5="×"))+SUMPRODUCT((B7:C7=B21)*(D7="×"))+SUMPRODUCT((E7:F7=B21)*(G7="×"))+SUMPRODUCT((H7:I7=B21)*(J7="×"))+SUMPRODUCT((K7:L7=B21)*(M7="×"))+SUMPRODUCT((N7:O7=B21)*(P7="×"))+SUMPRODUCT((B9:C9=B21)*(D9="×"))+SUMPRODUCT((E9:F9=B21)*(G9="×"))+SUMPRODUCT((H9:I9=B21)*(J9="×"))+SUMPRODUCT((K9:L9=B21)*(M9="×"))+SUMPRODUCT((N9:O9=B21)*(P9="×"))+SUMPRODUCT((B11:C11=B21)*(D11="×"))+SUMPRODUCT((E11:F11=B21)*(G11="×"))+SUMPRODUCT((H11:I11=B21)*(J11="×"))+SUMPRODUCT((K11:L11=B21)*(M11="×"))+SUMPRODUCT((N11:O11=B21)*(P11="×"))+SUMPRODUCT((B13:C13=B21)*(D13="×"))+SUMPRODUCT((E13:F13=B21)*(G13="×"))+SUMPRODUCT((H13:I13=B21)*(J13="×"))+SUMPRODUCT((K13:L13=B21)*(M13="×"))+SUMPRODUCT((N13:O13=B21)*(P13="×"))+SUMPRODUCT((B15:C15=B21)*(D15="×"))+SUMPRODUCT((E15:F15=B21)*(G15="×"))+SUMPRODUCT((H15:I15=B21)*(J15="×"))+SUMPRODUCT((K15:L15=B21)*(M15="×"))+SUMPRODUCT((N15:O15=B21)*(P15="×"))+SUMPRODUCT((B17:C17=B21)*(D17="×"))+SUMPRODUCT((E17:F17=B21)*(G17="×"))+SUMPRODUCT((H17:I17=B21)*(J17="×"))+SUMPRODUCT((K17:L17=B21)*(M17="×"))+SUMPRODUCT((N17:O17=B21)*(P17="×")))))</f>
        <v/>
      </c>
      <c r="C23" s="19">
        <f>IF(C21="","",IF(C24="","",C24-(SUMPRODUCT((B5:C5=C21)*(D5="×"))+SUMPRODUCT((E5:F5=C21)*(G5="×"))+SUMPRODUCT((H5:I5=C21)*(J5="×"))+SUMPRODUCT((K5:L5=C21)*(M5="×"))+SUMPRODUCT((N5:O5=C21)*(P5="×"))+SUMPRODUCT((B7:C7=C21)*(D7="×"))+SUMPRODUCT((E7:F7=C21)*(G7="×"))+SUMPRODUCT((H7:I7=C21)*(J7="×"))+SUMPRODUCT((K7:L7=C21)*(M7="×"))+SUMPRODUCT((N7:O7=C21)*(P7="×"))+SUMPRODUCT((B9:C9=C21)*(D9="×"))+SUMPRODUCT((E9:F9=C21)*(G9="×"))+SUMPRODUCT((H9:I9=C21)*(J9="×"))+SUMPRODUCT((K9:L9=C21)*(M9="×"))+SUMPRODUCT((N9:O9=C21)*(P9="×"))+SUMPRODUCT((B11:C11=C21)*(D11="×"))+SUMPRODUCT((E11:F11=C21)*(G11="×"))+SUMPRODUCT((H11:I11=C21)*(J11="×"))+SUMPRODUCT((K11:L11=C21)*(M11="×"))+SUMPRODUCT((N11:O11=C21)*(P11="×"))+SUMPRODUCT((B13:C13=C21)*(D13="×"))+SUMPRODUCT((E13:F13=C21)*(G13="×"))+SUMPRODUCT((H13:I13=C21)*(J13="×"))+SUMPRODUCT((K13:L13=C21)*(M13="×"))+SUMPRODUCT((N13:O13=C21)*(P13="×"))+SUMPRODUCT((B15:C15=C21)*(D15="×"))+SUMPRODUCT((E15:F15=C21)*(G15="×"))+SUMPRODUCT((H15:I15=C21)*(J15="×"))+SUMPRODUCT((K15:L15=C21)*(M15="×"))+SUMPRODUCT((N15:O15=C21)*(P15="×"))+SUMPRODUCT((B17:C17=C21)*(D17="×"))+SUMPRODUCT((E17:F17=C21)*(G17="×"))+SUMPRODUCT((H17:I17=C21)*(J17="×"))+SUMPRODUCT((K17:L17=C21)*(M17="×"))+SUMPRODUCT((N17:O17=C21)*(P17="×")))))</f>
        <v/>
      </c>
      <c r="D23" s="19">
        <f>IF(D21="","",IF(D24="","",D24-(SUMPRODUCT((B5:C5=D21)*(D5="×"))+SUMPRODUCT((E5:F5=D21)*(G5="×"))+SUMPRODUCT((H5:I5=D21)*(J5="×"))+SUMPRODUCT((K5:L5=D21)*(M5="×"))+SUMPRODUCT((N5:O5=D21)*(P5="×"))+SUMPRODUCT((B7:C7=D21)*(D7="×"))+SUMPRODUCT((E7:F7=D21)*(G7="×"))+SUMPRODUCT((H7:I7=D21)*(J7="×"))+SUMPRODUCT((K7:L7=D21)*(M7="×"))+SUMPRODUCT((N7:O7=D21)*(P7="×"))+SUMPRODUCT((B9:C9=D21)*(D9="×"))+SUMPRODUCT((E9:F9=D21)*(G9="×"))+SUMPRODUCT((H9:I9=D21)*(J9="×"))+SUMPRODUCT((K9:L9=D21)*(M9="×"))+SUMPRODUCT((N9:O9=D21)*(P9="×"))+SUMPRODUCT((B11:C11=D21)*(D11="×"))+SUMPRODUCT((E11:F11=D21)*(G11="×"))+SUMPRODUCT((H11:I11=D21)*(J11="×"))+SUMPRODUCT((K11:L11=D21)*(M11="×"))+SUMPRODUCT((N11:O11=D21)*(P11="×"))+SUMPRODUCT((B13:C13=D21)*(D13="×"))+SUMPRODUCT((E13:F13=D21)*(G13="×"))+SUMPRODUCT((H13:I13=D21)*(J13="×"))+SUMPRODUCT((K13:L13=D21)*(M13="×"))+SUMPRODUCT((N13:O13=D21)*(P13="×"))+SUMPRODUCT((B15:C15=D21)*(D15="×"))+SUMPRODUCT((E15:F15=D21)*(G15="×"))+SUMPRODUCT((H15:I15=D21)*(J15="×"))+SUMPRODUCT((K15:L15=D21)*(M15="×"))+SUMPRODUCT((N15:O15=D21)*(P15="×"))+SUMPRODUCT((B17:C17=D21)*(D17="×"))+SUMPRODUCT((E17:F17=D21)*(G17="×"))+SUMPRODUCT((H17:I17=D21)*(J17="×"))+SUMPRODUCT((K17:L17=D21)*(M17="×"))+SUMPRODUCT((N17:O17=D21)*(P17="×")))))</f>
        <v/>
      </c>
      <c r="E23" s="19">
        <f>IF(E21="","",IF(E24="","",E24-(SUMPRODUCT((B5:C5=E21)*(D5="×"))+SUMPRODUCT((E5:F5=E21)*(G5="×"))+SUMPRODUCT((H5:I5=E21)*(J5="×"))+SUMPRODUCT((K5:L5=E21)*(M5="×"))+SUMPRODUCT((N5:O5=E21)*(P5="×"))+SUMPRODUCT((B7:C7=E21)*(D7="×"))+SUMPRODUCT((E7:F7=E21)*(G7="×"))+SUMPRODUCT((H7:I7=E21)*(J7="×"))+SUMPRODUCT((K7:L7=E21)*(M7="×"))+SUMPRODUCT((N7:O7=E21)*(P7="×"))+SUMPRODUCT((B9:C9=E21)*(D9="×"))+SUMPRODUCT((E9:F9=E21)*(G9="×"))+SUMPRODUCT((H9:I9=E21)*(J9="×"))+SUMPRODUCT((K9:L9=E21)*(M9="×"))+SUMPRODUCT((N9:O9=E21)*(P9="×"))+SUMPRODUCT((B11:C11=E21)*(D11="×"))+SUMPRODUCT((E11:F11=E21)*(G11="×"))+SUMPRODUCT((H11:I11=E21)*(J11="×"))+SUMPRODUCT((K11:L11=E21)*(M11="×"))+SUMPRODUCT((N11:O11=E21)*(P11="×"))+SUMPRODUCT((B13:C13=E21)*(D13="×"))+SUMPRODUCT((E13:F13=E21)*(G13="×"))+SUMPRODUCT((H13:I13=E21)*(J13="×"))+SUMPRODUCT((K13:L13=E21)*(M13="×"))+SUMPRODUCT((N13:O13=E21)*(P13="×"))+SUMPRODUCT((B15:C15=E21)*(D15="×"))+SUMPRODUCT((E15:F15=E21)*(G15="×"))+SUMPRODUCT((H15:I15=E21)*(J15="×"))+SUMPRODUCT((K15:L15=E21)*(M15="×"))+SUMPRODUCT((N15:O15=E21)*(P15="×"))+SUMPRODUCT((B17:C17=E21)*(D17="×"))+SUMPRODUCT((E17:F17=E21)*(G17="×"))+SUMPRODUCT((H17:I17=E21)*(J17="×"))+SUMPRODUCT((K17:L17=E21)*(M17="×"))+SUMPRODUCT((N17:O17=E21)*(P17="×")))))</f>
        <v/>
      </c>
      <c r="F23" s="19">
        <f>IF(F21="","",IF(F24="","",F24-(SUMPRODUCT((B5:C5=F21)*(D5="×"))+SUMPRODUCT((E5:F5=F21)*(G5="×"))+SUMPRODUCT((H5:I5=F21)*(J5="×"))+SUMPRODUCT((K5:L5=F21)*(M5="×"))+SUMPRODUCT((N5:O5=F21)*(P5="×"))+SUMPRODUCT((B7:C7=F21)*(D7="×"))+SUMPRODUCT((E7:F7=F21)*(G7="×"))+SUMPRODUCT((H7:I7=F21)*(J7="×"))+SUMPRODUCT((K7:L7=F21)*(M7="×"))+SUMPRODUCT((N7:O7=F21)*(P7="×"))+SUMPRODUCT((B9:C9=F21)*(D9="×"))+SUMPRODUCT((E9:F9=F21)*(G9="×"))+SUMPRODUCT((H9:I9=F21)*(J9="×"))+SUMPRODUCT((K9:L9=F21)*(M9="×"))+SUMPRODUCT((N9:O9=F21)*(P9="×"))+SUMPRODUCT((B11:C11=F21)*(D11="×"))+SUMPRODUCT((E11:F11=F21)*(G11="×"))+SUMPRODUCT((H11:I11=F21)*(J11="×"))+SUMPRODUCT((K11:L11=F21)*(M11="×"))+SUMPRODUCT((N11:O11=F21)*(P11="×"))+SUMPRODUCT((B13:C13=F21)*(D13="×"))+SUMPRODUCT((E13:F13=F21)*(G13="×"))+SUMPRODUCT((H13:I13=F21)*(J13="×"))+SUMPRODUCT((K13:L13=F21)*(M13="×"))+SUMPRODUCT((N13:O13=F21)*(P13="×"))+SUMPRODUCT((B15:C15=F21)*(D15="×"))+SUMPRODUCT((E15:F15=F21)*(G15="×"))+SUMPRODUCT((H15:I15=F21)*(J15="×"))+SUMPRODUCT((K15:L15=F21)*(M15="×"))+SUMPRODUCT((N15:O15=F21)*(P15="×"))+SUMPRODUCT((B17:C17=F21)*(D17="×"))+SUMPRODUCT((E17:F17=F21)*(G17="×"))+SUMPRODUCT((H17:I17=F21)*(J17="×"))+SUMPRODUCT((K17:L17=F21)*(M17="×"))+SUMPRODUCT((N17:O17=F21)*(P17="×")))))</f>
        <v/>
      </c>
      <c r="G23" s="19">
        <f>IF(G21="","",IF(G24="","",G24-(SUMPRODUCT((B5:C5=G21)*(D5="×"))+SUMPRODUCT((E5:F5=G21)*(G5="×"))+SUMPRODUCT((H5:I5=G21)*(J5="×"))+SUMPRODUCT((K5:L5=G21)*(M5="×"))+SUMPRODUCT((N5:O5=G21)*(P5="×"))+SUMPRODUCT((B7:C7=G21)*(D7="×"))+SUMPRODUCT((E7:F7=G21)*(G7="×"))+SUMPRODUCT((H7:I7=G21)*(J7="×"))+SUMPRODUCT((K7:L7=G21)*(M7="×"))+SUMPRODUCT((N7:O7=G21)*(P7="×"))+SUMPRODUCT((B9:C9=G21)*(D9="×"))+SUMPRODUCT((E9:F9=G21)*(G9="×"))+SUMPRODUCT((H9:I9=G21)*(J9="×"))+SUMPRODUCT((K9:L9=G21)*(M9="×"))+SUMPRODUCT((N9:O9=G21)*(P9="×"))+SUMPRODUCT((B11:C11=G21)*(D11="×"))+SUMPRODUCT((E11:F11=G21)*(G11="×"))+SUMPRODUCT((H11:I11=G21)*(J11="×"))+SUMPRODUCT((K11:L11=G21)*(M11="×"))+SUMPRODUCT((N11:O11=G21)*(P11="×"))+SUMPRODUCT((B13:C13=G21)*(D13="×"))+SUMPRODUCT((E13:F13=G21)*(G13="×"))+SUMPRODUCT((H13:I13=G21)*(J13="×"))+SUMPRODUCT((K13:L13=G21)*(M13="×"))+SUMPRODUCT((N13:O13=G21)*(P13="×"))+SUMPRODUCT((B15:C15=G21)*(D15="×"))+SUMPRODUCT((E15:F15=G21)*(G15="×"))+SUMPRODUCT((H15:I15=G21)*(J15="×"))+SUMPRODUCT((K15:L15=G21)*(M15="×"))+SUMPRODUCT((N15:O15=G21)*(P15="×"))+SUMPRODUCT((B17:C17=G21)*(D17="×"))+SUMPRODUCT((E17:F17=G21)*(G17="×"))+SUMPRODUCT((H17:I17=G21)*(J17="×"))+SUMPRODUCT((K17:L17=G21)*(M17="×"))+SUMPRODUCT((N17:O17=G21)*(P17="×")))))</f>
        <v/>
      </c>
      <c r="H23" s="19"/>
      <c r="I23" s="19"/>
      <c r="J23" s="19"/>
      <c r="K23" s="19"/>
      <c r="L23" s="19"/>
      <c r="M23" s="19">
        <f>IF(M24="","",M24-(SUMPRODUCT((B5:C5="特活")*(D5="×"))+SUMPRODUCT((B5:C5="学活")*(D5="×"))+SUMPRODUCT((E5:F5="特活")*(G5="×"))+SUMPRODUCT((E5:F5="学活")*(G5="×"))+SUMPRODUCT((H5:I5="特活")*(J5="×"))+SUMPRODUCT((H5:I5="学活")*(J5="×"))+SUMPRODUCT((K5:L5="特活")*(M5="×"))+SUMPRODUCT((K5:L5="学活")*(M5="×"))+SUMPRODUCT((N5:O5="特活")*(P5="×"))+SUMPRODUCT((N5:O5="学活")*(P5="×"))+SUMPRODUCT((B7:C7="特活")*(D7="×"))+SUMPRODUCT((B7:C7="学活")*(D7="×"))+SUMPRODUCT((E7:F7="特活")*(G7="×"))+SUMPRODUCT((E7:F7="学活")*(G7="×"))+SUMPRODUCT((H7:I7="特活")*(J7="×"))+SUMPRODUCT((H7:I7="学活")*(J7="×"))+SUMPRODUCT((K7:L7="特活")*(M7="×"))+SUMPRODUCT((K7:L7="学活")*(M7="×"))+SUMPRODUCT((N7:O7="特活")*(P7="×"))+SUMPRODUCT((N7:O7="学活")*(P7="×"))+SUMPRODUCT((B9:C9="特活")*(D9="×"))+SUMPRODUCT((B9:C9="学活")*(D9="×"))+SUMPRODUCT((E9:F9="特活")*(G9="×"))+SUMPRODUCT((E9:F9="学活")*(G9="×"))+SUMPRODUCT((H9:I9="特活")*(J9="×"))+SUMPRODUCT((H9:I9="学活")*(J9="×"))+SUMPRODUCT((K9:L9="特活")*(M9="×"))+SUMPRODUCT((K9:L9="学活")*(M9="×"))+SUMPRODUCT((N9:O9="特活")*(P9="×"))+SUMPRODUCT((N9:O9="学活")*(P9="×"))+SUMPRODUCT((B11:C11="特活")*(D11="×"))+SUMPRODUCT((B11:C11="学活")*(D11="×"))+SUMPRODUCT((E11:F11="特活")*(G11="×"))+SUMPRODUCT((E11:F11="学活")*(G11="×"))+SUMPRODUCT((H11:I11="特活")*(J11="×"))+SUMPRODUCT((H11:I11="学活")*(J11="×"))+SUMPRODUCT((K11:L11="特活")*(M11="×"))+SUMPRODUCT((K11:L11="学活")*(M11="×"))+SUMPRODUCT((N11:O11="特活")*(P11="×"))+SUMPRODUCT((N11:O11="学活")*(P11="×"))+SUMPRODUCT((B13:C13="特活")*(D13="×"))+SUMPRODUCT((B13:C13="学活")*(D13="×"))+SUMPRODUCT((E13:F13="特活")*(G13="×"))+SUMPRODUCT((E13:F13="学活")*(G13="×"))+SUMPRODUCT((H13:I13="特活")*(J13="×"))+SUMPRODUCT((H13:I13="学活")*(J13="×"))+SUMPRODUCT((K13:L13="特活")*(M13="×"))+SUMPRODUCT((K13:L13="学活")*(M13="×"))+SUMPRODUCT((N13:O13="特活")*(P13="×"))+SUMPRODUCT((N13:O13="学活")*(P13="×"))+SUMPRODUCT((B15:C15="特活")*(D15="×"))+SUMPRODUCT((B15:C15="学活")*(D15="×"))+SUMPRODUCT((E15:F15="特活")*(G15="×"))+SUMPRODUCT((E15:F15="学活")*(G15="×"))+SUMPRODUCT((H15:I15="特活")*(J15="×"))+SUMPRODUCT((H15:I15="学活")*(J15="×"))+SUMPRODUCT((K15:L15="特活")*(M15="×"))+SUMPRODUCT((K15:L15="学活")*(M15="×"))+SUMPRODUCT((N15:O15="特活")*(P15="×"))+SUMPRODUCT((N15:O15="学活")*(P15="×"))+SUMPRODUCT((B17:C17="特活")*(D17="×"))+SUMPRODUCT((B17:C17="学活")*(D17="×"))+SUMPRODUCT((E17:F17="特活")*(G17="×"))+SUMPRODUCT((E17:F17="学活")*(G17="×"))+SUMPRODUCT((H17:I17="特活")*(J17="×"))+SUMPRODUCT((H17:I17="学活")*(J17="×"))+SUMPRODUCT((K17:L17="特活")*(M17="×"))+SUMPRODUCT((K17:L17="学活")*(M17="×"))+SUMPRODUCT((N17:O17="特活")*(P17="×"))+SUMPRODUCT((N17:O17="学活")*(P17="×"))))</f>
        <v/>
      </c>
      <c r="N23" s="19">
        <f>IF(N24="","",N24-(SUMPRODUCT((B5:C5=N21)*(D5="×"))+SUMPRODUCT((E5:F5=N21)*(G5="×"))+SUMPRODUCT((H5:I5=N21)*(J5="×"))+SUMPRODUCT((K5:L5=N21)*(M5="×"))+SUMPRODUCT((N5:O5=N21)*(P5="×"))+SUMPRODUCT((B7:C7=N21)*(D7="×"))+SUMPRODUCT((E7:F7=N21)*(G7="×"))+SUMPRODUCT((H7:I7=N21)*(J7="×"))+SUMPRODUCT((K7:L7=N21)*(M7="×"))+SUMPRODUCT((N7:O7=N21)*(P7="×"))+SUMPRODUCT((B9:C9=N21)*(D9="×"))+SUMPRODUCT((E9:F9=N21)*(G9="×"))+SUMPRODUCT((H9:I9=N21)*(J9="×"))+SUMPRODUCT((K9:L9=N21)*(M9="×"))+SUMPRODUCT((N9:O9=N21)*(P9="×"))+SUMPRODUCT((B11:C11=N21)*(D11="×"))+SUMPRODUCT((E11:F11=N21)*(G11="×"))+SUMPRODUCT((H11:I11=N21)*(J11="×"))+SUMPRODUCT((K11:L11=N21)*(M11="×"))+SUMPRODUCT((N11:O11=N21)*(P11="×"))+SUMPRODUCT((B13:C13=N21)*(D13="×"))+SUMPRODUCT((E13:F13=N21)*(G13="×"))+SUMPRODUCT((H13:I13=N21)*(J13="×"))+SUMPRODUCT((K13:L13=N21)*(M13="×"))+SUMPRODUCT((N13:O13=N21)*(P13="×"))+SUMPRODUCT((B15:C15=N21)*(D15="×"))+SUMPRODUCT((E15:F15=N21)*(G15="×"))+SUMPRODUCT((H15:I15=N21)*(J15="×"))+SUMPRODUCT((K15:L15=N21)*(M15="×"))+SUMPRODUCT((N15:O15=N21)*(P15="×"))+SUMPRODUCT((B17:C17=N21)*(D17="×"))+SUMPRODUCT((E17:F17=N21)*(G17="×"))+SUMPRODUCT((H17:I17=N21)*(J17="×"))+SUMPRODUCT((K17:L17=N21)*(M17="×"))+SUMPRODUCT((N17:O17=N21)*(P17="×"))))</f>
        <v/>
      </c>
      <c r="O23" s="19">
        <f>IF(O24="","",O24-(SUMPRODUCT((B5:C5=O21)*(D5="×"))+SUMPRODUCT((E5:F5=O21)*(G5="×"))+SUMPRODUCT((H5:I5=O21)*(J5="×"))+SUMPRODUCT((K5:L5=O21)*(M5="×"))+SUMPRODUCT((N5:O5=O21)*(P5="×"))+SUMPRODUCT((B7:C7=O21)*(D7="×"))+SUMPRODUCT((E7:F7=O21)*(G7="×"))+SUMPRODUCT((H7:I7=O21)*(J7="×"))+SUMPRODUCT((K7:L7=O21)*(M7="×"))+SUMPRODUCT((N7:O7=O21)*(P7="×"))+SUMPRODUCT((B9:C9=O21)*(D9="×"))+SUMPRODUCT((E9:F9=O21)*(G9="×"))+SUMPRODUCT((H9:I9=O21)*(J9="×"))+SUMPRODUCT((K9:L9=O21)*(M9="×"))+SUMPRODUCT((N9:O9=O21)*(P9="×"))+SUMPRODUCT((B11:C11=O21)*(D11="×"))+SUMPRODUCT((E11:F11=O21)*(G11="×"))+SUMPRODUCT((H11:I11=O21)*(J11="×"))+SUMPRODUCT((K11:L11=O21)*(M11="×"))+SUMPRODUCT((N11:O11=O21)*(P11="×"))+SUMPRODUCT((B13:C13=O21)*(D13="×"))+SUMPRODUCT((E13:F13=O21)*(G13="×"))+SUMPRODUCT((H13:I13=O21)*(J13="×"))+SUMPRODUCT((K13:L13=O21)*(M13="×"))+SUMPRODUCT((N13:O13=O21)*(P13="×"))+SUMPRODUCT((B15:C15=O21)*(D15="×"))+SUMPRODUCT((E15:F15=O21)*(G15="×"))+SUMPRODUCT((H15:I15=O21)*(J15="×"))+SUMPRODUCT((K15:L15=O21)*(M15="×"))+SUMPRODUCT((N15:O15=O21)*(P15="×"))+SUMPRODUCT((B17:C17=O21)*(D17="×"))+SUMPRODUCT((E17:F17=O21)*(G17="×"))+SUMPRODUCT((H17:I17=O21)*(J17="×"))+SUMPRODUCT((K17:L17=O21)*(M17="×"))+SUMPRODUCT((N17:O17=O21)*(P17="×"))))</f>
        <v/>
      </c>
      <c r="P23" s="20">
        <f>IF(SUM(B23:O23)=0,"",SUM(B23:O23))</f>
        <v/>
      </c>
    </row>
    <row r="24" spans="1:16" ht="13.5" customHeight="1" x14ac:dyDescent="0.2">
      <c r="A24" s="36"/>
      <c r="B24" s="21">
        <f>IF(B21="","",IF(COUNTIF(B5:C5,B21)+COUNTIF(B5:C5,"*,"&amp;B21&amp;",*")+COUNTIF(E5:F5,B21)+COUNTIF(E5:F5,"*,"&amp;B21&amp;",*")+COUNTIF(H5:I5,B21)+COUNTIF(H5:I5,"*,"&amp;B21&amp;",*")+COUNTIF(K5:L5,B21)+COUNTIF(K5:L5,"*,"&amp;B21&amp;",*")+COUNTIF(N5:O5,B21)+COUNTIF(N5:O5,"*,"&amp;B21&amp;",*")+COUNTIF(B7:C7,B21)+COUNTIF(B7:C7,"*,"&amp;B21&amp;",*")+COUNTIF(E7:F7,B21)+COUNTIF(E7:F7,"*,"&amp;B21&amp;",*")+COUNTIF(H7:I7,B21)+COUNTIF(H7:I7,"*,"&amp;B21&amp;",*")+COUNTIF(K7:L7,B21)+COUNTIF(K7:L7,"*,"&amp;B21&amp;",*")+COUNTIF(N7:O7,B21)+COUNTIF(N7:O7,"*,"&amp;B21&amp;",*")+COUNTIF(B9:C9,B21)+COUNTIF(B9:C9,"*,"&amp;B21&amp;",*")+COUNTIF(E9:F9,B21)+COUNTIF(E9:F9,"*,"&amp;B21&amp;",*")+COUNTIF(H9:I9,B21)+COUNTIF(H9:I9,"*,"&amp;B21&amp;",*")+COUNTIF(K9:L9,B21)+COUNTIF(K9:L9,"*,"&amp;B21&amp;",*")+COUNTIF(N9:O9,B21)+COUNTIF(N9:O9,"*,"&amp;B21&amp;",*")+COUNTIF(B11:C11,B21)+COUNTIF(B11:C11,"*,"&amp;B21&amp;",*")+COUNTIF(E11:F11,B21)+COUNTIF(E11:F11,"*,"&amp;B21&amp;",*")+COUNTIF(H11:I11,B21)+COUNTIF(H11:I11,"*,"&amp;B21&amp;",*")+COUNTIF(K11:L11,B21)+COUNTIF(K11:L11,"*,"&amp;B21&amp;",*")+COUNTIF(N11:O11,B21)+COUNTIF(N11:O11,"*,"&amp;B21&amp;",*")+COUNTIF(B13:C13,B21)+COUNTIF(B13:C13,"*,"&amp;B21&amp;",*")+COUNTIF(E13:F13,B21)+COUNTIF(E13:F13,"*,"&amp;B21&amp;",*")+COUNTIF(H13:I13,B21)+COUNTIF(H13:I13,"*,"&amp;B21&amp;",*")+COUNTIF(K13:L13,B21)+COUNTIF(K13:L13,"*,"&amp;B21&amp;",*")+COUNTIF(N13:O13,B21)+COUNTIF(N13:O13,"*,"&amp;B21&amp;",*")+COUNTIF(B15:C15,B21)+COUNTIF(B15:C15,"*,"&amp;B21&amp;",*")+COUNTIF(E15:F15,B21)+COUNTIF(E15:F15,"*,"&amp;B21&amp;",*")+COUNTIF(H15:I15,B21)+COUNTIF(H15:I15,"*,"&amp;B21&amp;",*")+COUNTIF(K15:L15,B21)+COUNTIF(K15:L15,"*,"&amp;B21&amp;",*")+COUNTIF(N15:O15,B21)+COUNTIF(N15:O15,"*,"&amp;B21&amp;",*")+COUNTIF(B17:C17,B21)+COUNTIF(B17:C17,"*,"&amp;B21&amp;",*")+COUNTIF(E17:F17,B21)+COUNTIF(E17:F17,"*,"&amp;B21&amp;",*")+COUNTIF(H17:I17,B21)+COUNTIF(H17:I17,"*,"&amp;B21&amp;",*")+COUNTIF(K17:L17,B21)+COUNTIF(K17:L17,"*,"&amp;B21&amp;",*")+COUNTIF(N17:O17,B21)+COUNTIF(N17:O17,"*,"&amp;B21&amp;",*")=0,"",COUNTIF(B5:C5,B21)+COUNTIF(B5:C5,"*,"&amp;B21&amp;",*")+COUNTIF(E5:F5,B21)+COUNTIF(E5:F5,"*,"&amp;B21&amp;",*")+COUNTIF(H5:I5,B21)+COUNTIF(H5:I5,"*,"&amp;B21&amp;",*")+COUNTIF(K5:L5,B21)+COUNTIF(K5:L5,"*,"&amp;B21&amp;",*")+COUNTIF(N5:O5,B21)+COUNTIF(N5:O5,"*,"&amp;B21&amp;",*")+COUNTIF(B7:C7,B21)+COUNTIF(B7:C7,"*,"&amp;B21&amp;",*")+COUNTIF(E7:F7,B21)+COUNTIF(E7:F7,"*,"&amp;B21&amp;",*")+COUNTIF(H7:I7,B21)+COUNTIF(H7:I7,"*,"&amp;B21&amp;",*")+COUNTIF(K7:L7,B21)+COUNTIF(K7:L7,"*,"&amp;B21&amp;",*")+COUNTIF(N7:O7,B21)+COUNTIF(N7:O7,"*,"&amp;B21&amp;",*")+COUNTIF(B9:C9,B21)+COUNTIF(B9:C9,"*,"&amp;B21&amp;",*")+COUNTIF(E9:F9,B21)+COUNTIF(E9:F9,"*,"&amp;B21&amp;",*")+COUNTIF(H9:I9,B21)+COUNTIF(H9:I9,"*,"&amp;B21&amp;",*")+COUNTIF(K9:L9,B21)+COUNTIF(K9:L9,"*,"&amp;B21&amp;",*")+COUNTIF(N9:O9,B21)+COUNTIF(N9:O9,"*,"&amp;B21&amp;",*")+COUNTIF(B11:C11,B21)+COUNTIF(B11:C11,"*,"&amp;B21&amp;",*")+COUNTIF(E11:F11,B21)+COUNTIF(E11:F11,"*,"&amp;B21&amp;",*")+COUNTIF(H11:I11,B21)+COUNTIF(H11:I11,"*,"&amp;B21&amp;",*")+COUNTIF(K11:L11,B21)+COUNTIF(K11:L11,"*,"&amp;B21&amp;",*")+COUNTIF(N11:O11,B21)+COUNTIF(N11:O11,"*,"&amp;B21&amp;",*")+COUNTIF(B13:C13,B21)+COUNTIF(B13:C13,"*,"&amp;B21&amp;",*")+COUNTIF(E13:F13,B21)+COUNTIF(E13:F13,"*,"&amp;B21&amp;",*")+COUNTIF(H13:I13,B21)+COUNTIF(H13:I13,"*,"&amp;B21&amp;",*")+COUNTIF(K13:L13,B21)+COUNTIF(K13:L13,"*,"&amp;B21&amp;",*")+COUNTIF(N13:O13,B21)+COUNTIF(N13:O13,"*,"&amp;B21&amp;",*")+COUNTIF(B15:C15,B21)+COUNTIF(B15:C15,"*,"&amp;B21&amp;",*")+COUNTIF(E15:F15,B21)+COUNTIF(E15:F15,"*,"&amp;B21&amp;",*")+COUNTIF(H15:I15,B21)+COUNTIF(H15:I15,"*,"&amp;B21&amp;",*")+COUNTIF(K15:L15,B21)+COUNTIF(K15:L15,"*,"&amp;B21&amp;",*")+COUNTIF(N15:O15,B21)+COUNTIF(N15:O15,"*,"&amp;B21&amp;",*")+COUNTIF(B17:C17,B21)+COUNTIF(B17:C17,"*,"&amp;B21&amp;",*")+COUNTIF(E17:F17,B21)+COUNTIF(E17:F17,"*,"&amp;B21&amp;",*")+COUNTIF(H17:I17,B21)+COUNTIF(H17:I17,"*,"&amp;B21&amp;",*")+COUNTIF(K17:L17,B21)+COUNTIF(K17:L17,"*,"&amp;B21&amp;",*")+COUNTIF(N17:O17,B21)+COUNTIF(N17:O17,"*,"&amp;B21&amp;",*")))</f>
        <v/>
      </c>
      <c r="C24" s="21">
        <f>IF(C21="","",IF(COUNTIF(B5:C5,C21)+COUNTIF(B5:C5,"*,"&amp;C21&amp;",*")+COUNTIF(E5:F5,C21)+COUNTIF(E5:F5,"*,"&amp;C21&amp;",*")+COUNTIF(H5:I5,C21)+COUNTIF(H5:I5,"*,"&amp;C21&amp;",*")+COUNTIF(K5:L5,C21)+COUNTIF(K5:L5,"*,"&amp;C21&amp;",*")+COUNTIF(N5:O5,C21)+COUNTIF(N5:O5,"*,"&amp;C21&amp;",*")+COUNTIF(B7:C7,C21)+COUNTIF(B7:C7,"*,"&amp;C21&amp;",*")+COUNTIF(E7:F7,C21)+COUNTIF(E7:F7,"*,"&amp;C21&amp;",*")+COUNTIF(H7:I7,C21)+COUNTIF(H7:I7,"*,"&amp;C21&amp;",*")+COUNTIF(K7:L7,C21)+COUNTIF(K7:L7,"*,"&amp;C21&amp;",*")+COUNTIF(N7:O7,C21)+COUNTIF(N7:O7,"*,"&amp;C21&amp;",*")+COUNTIF(B9:C9,C21)+COUNTIF(B9:C9,"*,"&amp;C21&amp;",*")+COUNTIF(E9:F9,C21)+COUNTIF(E9:F9,"*,"&amp;C21&amp;",*")+COUNTIF(H9:I9,C21)+COUNTIF(H9:I9,"*,"&amp;C21&amp;",*")+COUNTIF(K9:L9,C21)+COUNTIF(K9:L9,"*,"&amp;C21&amp;",*")+COUNTIF(N9:O9,C21)+COUNTIF(N9:O9,"*,"&amp;C21&amp;",*")+COUNTIF(B11:C11,C21)+COUNTIF(B11:C11,"*,"&amp;C21&amp;",*")+COUNTIF(E11:F11,C21)+COUNTIF(E11:F11,"*,"&amp;C21&amp;",*")+COUNTIF(H11:I11,C21)+COUNTIF(H11:I11,"*,"&amp;C21&amp;",*")+COUNTIF(K11:L11,C21)+COUNTIF(K11:L11,"*,"&amp;C21&amp;",*")+COUNTIF(N11:O11,C21)+COUNTIF(N11:O11,"*,"&amp;C21&amp;",*")+COUNTIF(B13:C13,C21)+COUNTIF(B13:C13,"*,"&amp;C21&amp;",*")+COUNTIF(E13:F13,C21)+COUNTIF(E13:F13,"*,"&amp;C21&amp;",*")+COUNTIF(H13:I13,C21)+COUNTIF(H13:I13,"*,"&amp;C21&amp;",*")+COUNTIF(K13:L13,C21)+COUNTIF(K13:L13,"*,"&amp;C21&amp;",*")+COUNTIF(N13:O13,C21)+COUNTIF(N13:O13,"*,"&amp;C21&amp;",*")+COUNTIF(B15:C15,C21)+COUNTIF(B15:C15,"*,"&amp;C21&amp;",*")+COUNTIF(E15:F15,C21)+COUNTIF(E15:F15,"*,"&amp;C21&amp;",*")+COUNTIF(H15:I15,C21)+COUNTIF(H15:I15,"*,"&amp;C21&amp;",*")+COUNTIF(K15:L15,C21)+COUNTIF(K15:L15,"*,"&amp;C21&amp;",*")+COUNTIF(N15:O15,C21)+COUNTIF(N15:O15,"*,"&amp;C21&amp;",*")+COUNTIF(B17:C17,C21)+COUNTIF(B17:C17,"*,"&amp;C21&amp;",*")+COUNTIF(E17:F17,C21)+COUNTIF(E17:F17,"*,"&amp;C21&amp;",*")+COUNTIF(H17:I17,C21)+COUNTIF(H17:I17,"*,"&amp;C21&amp;",*")+COUNTIF(K17:L17,C21)+COUNTIF(K17:L17,"*,"&amp;C21&amp;",*")+COUNTIF(N17:O17,C21)+COUNTIF(N17:O17,"*,"&amp;C21&amp;",*")=0,"",COUNTIF(B5:C5,C21)+COUNTIF(B5:C5,"*,"&amp;C21&amp;",*")+COUNTIF(E5:F5,C21)+COUNTIF(E5:F5,"*,"&amp;C21&amp;",*")+COUNTIF(H5:I5,C21)+COUNTIF(H5:I5,"*,"&amp;C21&amp;",*")+COUNTIF(K5:L5,C21)+COUNTIF(K5:L5,"*,"&amp;C21&amp;",*")+COUNTIF(N5:O5,C21)+COUNTIF(N5:O5,"*,"&amp;C21&amp;",*")+COUNTIF(B7:C7,C21)+COUNTIF(B7:C7,"*,"&amp;C21&amp;",*")+COUNTIF(E7:F7,C21)+COUNTIF(E7:F7,"*,"&amp;C21&amp;",*")+COUNTIF(H7:I7,C21)+COUNTIF(H7:I7,"*,"&amp;C21&amp;",*")+COUNTIF(K7:L7,C21)+COUNTIF(K7:L7,"*,"&amp;C21&amp;",*")+COUNTIF(N7:O7,C21)+COUNTIF(N7:O7,"*,"&amp;C21&amp;",*")+COUNTIF(B9:C9,C21)+COUNTIF(B9:C9,"*,"&amp;C21&amp;",*")+COUNTIF(E9:F9,C21)+COUNTIF(E9:F9,"*,"&amp;C21&amp;",*")+COUNTIF(H9:I9,C21)+COUNTIF(H9:I9,"*,"&amp;C21&amp;",*")+COUNTIF(K9:L9,C21)+COUNTIF(K9:L9,"*,"&amp;C21&amp;",*")+COUNTIF(N9:O9,C21)+COUNTIF(N9:O9,"*,"&amp;C21&amp;",*")+COUNTIF(B11:C11,C21)+COUNTIF(B11:C11,"*,"&amp;C21&amp;",*")+COUNTIF(E11:F11,C21)+COUNTIF(E11:F11,"*,"&amp;C21&amp;",*")+COUNTIF(H11:I11,C21)+COUNTIF(H11:I11,"*,"&amp;C21&amp;",*")+COUNTIF(K11:L11,C21)+COUNTIF(K11:L11,"*,"&amp;C21&amp;",*")+COUNTIF(N11:O11,C21)+COUNTIF(N11:O11,"*,"&amp;C21&amp;",*")+COUNTIF(B13:C13,C21)+COUNTIF(B13:C13,"*,"&amp;C21&amp;",*")+COUNTIF(E13:F13,C21)+COUNTIF(E13:F13,"*,"&amp;C21&amp;",*")+COUNTIF(H13:I13,C21)+COUNTIF(H13:I13,"*,"&amp;C21&amp;",*")+COUNTIF(K13:L13,C21)+COUNTIF(K13:L13,"*,"&amp;C21&amp;",*")+COUNTIF(N13:O13,C21)+COUNTIF(N13:O13,"*,"&amp;C21&amp;",*")+COUNTIF(B15:C15,C21)+COUNTIF(B15:C15,"*,"&amp;C21&amp;",*")+COUNTIF(E15:F15,C21)+COUNTIF(E15:F15,"*,"&amp;C21&amp;",*")+COUNTIF(H15:I15,C21)+COUNTIF(H15:I15,"*,"&amp;C21&amp;",*")+COUNTIF(K15:L15,C21)+COUNTIF(K15:L15,"*,"&amp;C21&amp;",*")+COUNTIF(N15:O15,C21)+COUNTIF(N15:O15,"*,"&amp;C21&amp;",*")+COUNTIF(B17:C17,C21)+COUNTIF(B17:C17,"*,"&amp;C21&amp;",*")+COUNTIF(E17:F17,C21)+COUNTIF(E17:F17,"*,"&amp;C21&amp;",*")+COUNTIF(H17:I17,C21)+COUNTIF(H17:I17,"*,"&amp;C21&amp;",*")+COUNTIF(K17:L17,C21)+COUNTIF(K17:L17,"*,"&amp;C21&amp;",*")+COUNTIF(N17:O17,C21)+COUNTIF(N17:O17,"*,"&amp;C21&amp;",*")))</f>
        <v/>
      </c>
      <c r="D24" s="21">
        <f>IF(D21="","",IF(COUNTIF(B5:C5,D21)+COUNTIF(B5:C5,"*,"&amp;D21&amp;",*")+COUNTIF(E5:F5,D21)+COUNTIF(E5:F5,"*,"&amp;D21&amp;",*")+COUNTIF(H5:I5,D21)+COUNTIF(H5:I5,"*,"&amp;D21&amp;",*")+COUNTIF(K5:L5,D21)+COUNTIF(K5:L5,"*,"&amp;D21&amp;",*")+COUNTIF(N5:O5,D21)+COUNTIF(N5:O5,"*,"&amp;D21&amp;",*")+COUNTIF(B7:C7,D21)+COUNTIF(B7:C7,"*,"&amp;D21&amp;",*")+COUNTIF(E7:F7,D21)+COUNTIF(E7:F7,"*,"&amp;D21&amp;",*")+COUNTIF(H7:I7,D21)+COUNTIF(H7:I7,"*,"&amp;D21&amp;",*")+COUNTIF(K7:L7,D21)+COUNTIF(K7:L7,"*,"&amp;D21&amp;",*")+COUNTIF(N7:O7,D21)+COUNTIF(N7:O7,"*,"&amp;D21&amp;",*")+COUNTIF(B9:C9,D21)+COUNTIF(B9:C9,"*,"&amp;D21&amp;",*")+COUNTIF(E9:F9,D21)+COUNTIF(E9:F9,"*,"&amp;D21&amp;",*")+COUNTIF(H9:I9,D21)+COUNTIF(H9:I9,"*,"&amp;D21&amp;",*")+COUNTIF(K9:L9,D21)+COUNTIF(K9:L9,"*,"&amp;D21&amp;",*")+COUNTIF(N9:O9,D21)+COUNTIF(N9:O9,"*,"&amp;D21&amp;",*")+COUNTIF(B11:C11,D21)+COUNTIF(B11:C11,"*,"&amp;D21&amp;",*")+COUNTIF(E11:F11,D21)+COUNTIF(E11:F11,"*,"&amp;D21&amp;",*")+COUNTIF(H11:I11,D21)+COUNTIF(H11:I11,"*,"&amp;D21&amp;",*")+COUNTIF(K11:L11,D21)+COUNTIF(K11:L11,"*,"&amp;D21&amp;",*")+COUNTIF(N11:O11,D21)+COUNTIF(N11:O11,"*,"&amp;D21&amp;",*")+COUNTIF(B13:C13,D21)+COUNTIF(B13:C13,"*,"&amp;D21&amp;",*")+COUNTIF(E13:F13,D21)+COUNTIF(E13:F13,"*,"&amp;D21&amp;",*")+COUNTIF(H13:I13,D21)+COUNTIF(H13:I13,"*,"&amp;D21&amp;",*")+COUNTIF(K13:L13,D21)+COUNTIF(K13:L13,"*,"&amp;D21&amp;",*")+COUNTIF(N13:O13,D21)+COUNTIF(N13:O13,"*,"&amp;D21&amp;",*")+COUNTIF(B15:C15,D21)+COUNTIF(B15:C15,"*,"&amp;D21&amp;",*")+COUNTIF(E15:F15,D21)+COUNTIF(E15:F15,"*,"&amp;D21&amp;",*")+COUNTIF(H15:I15,D21)+COUNTIF(H15:I15,"*,"&amp;D21&amp;",*")+COUNTIF(K15:L15,D21)+COUNTIF(K15:L15,"*,"&amp;D21&amp;",*")+COUNTIF(N15:O15,D21)+COUNTIF(N15:O15,"*,"&amp;D21&amp;",*")+COUNTIF(B17:C17,D21)+COUNTIF(B17:C17,"*,"&amp;D21&amp;",*")+COUNTIF(E17:F17,D21)+COUNTIF(E17:F17,"*,"&amp;D21&amp;",*")+COUNTIF(H17:I17,D21)+COUNTIF(H17:I17,"*,"&amp;D21&amp;",*")+COUNTIF(K17:L17,D21)+COUNTIF(K17:L17,"*,"&amp;D21&amp;",*")+COUNTIF(N17:O17,D21)+COUNTIF(N17:O17,"*,"&amp;D21&amp;",*")=0,"",COUNTIF(B5:C5,D21)+COUNTIF(B5:C5,"*,"&amp;D21&amp;",*")+COUNTIF(E5:F5,D21)+COUNTIF(E5:F5,"*,"&amp;D21&amp;",*")+COUNTIF(H5:I5,D21)+COUNTIF(H5:I5,"*,"&amp;D21&amp;",*")+COUNTIF(K5:L5,D21)+COUNTIF(K5:L5,"*,"&amp;D21&amp;",*")+COUNTIF(N5:O5,D21)+COUNTIF(N5:O5,"*,"&amp;D21&amp;",*")+COUNTIF(B7:C7,D21)+COUNTIF(B7:C7,"*,"&amp;D21&amp;",*")+COUNTIF(E7:F7,D21)+COUNTIF(E7:F7,"*,"&amp;D21&amp;",*")+COUNTIF(H7:I7,D21)+COUNTIF(H7:I7,"*,"&amp;D21&amp;",*")+COUNTIF(K7:L7,D21)+COUNTIF(K7:L7,"*,"&amp;D21&amp;",*")+COUNTIF(N7:O7,D21)+COUNTIF(N7:O7,"*,"&amp;D21&amp;",*")+COUNTIF(B9:C9,D21)+COUNTIF(B9:C9,"*,"&amp;D21&amp;",*")+COUNTIF(E9:F9,D21)+COUNTIF(E9:F9,"*,"&amp;D21&amp;",*")+COUNTIF(H9:I9,D21)+COUNTIF(H9:I9,"*,"&amp;D21&amp;",*")+COUNTIF(K9:L9,D21)+COUNTIF(K9:L9,"*,"&amp;D21&amp;",*")+COUNTIF(N9:O9,D21)+COUNTIF(N9:O9,"*,"&amp;D21&amp;",*")+COUNTIF(B11:C11,D21)+COUNTIF(B11:C11,"*,"&amp;D21&amp;",*")+COUNTIF(E11:F11,D21)+COUNTIF(E11:F11,"*,"&amp;D21&amp;",*")+COUNTIF(H11:I11,D21)+COUNTIF(H11:I11,"*,"&amp;D21&amp;",*")+COUNTIF(K11:L11,D21)+COUNTIF(K11:L11,"*,"&amp;D21&amp;",*")+COUNTIF(N11:O11,D21)+COUNTIF(N11:O11,"*,"&amp;D21&amp;",*")+COUNTIF(B13:C13,D21)+COUNTIF(B13:C13,"*,"&amp;D21&amp;",*")+COUNTIF(E13:F13,D21)+COUNTIF(E13:F13,"*,"&amp;D21&amp;",*")+COUNTIF(H13:I13,D21)+COUNTIF(H13:I13,"*,"&amp;D21&amp;",*")+COUNTIF(K13:L13,D21)+COUNTIF(K13:L13,"*,"&amp;D21&amp;",*")+COUNTIF(N13:O13,D21)+COUNTIF(N13:O13,"*,"&amp;D21&amp;",*")+COUNTIF(B15:C15,D21)+COUNTIF(B15:C15,"*,"&amp;D21&amp;",*")+COUNTIF(E15:F15,D21)+COUNTIF(E15:F15,"*,"&amp;D21&amp;",*")+COUNTIF(H15:I15,D21)+COUNTIF(H15:I15,"*,"&amp;D21&amp;",*")+COUNTIF(K15:L15,D21)+COUNTIF(K15:L15,"*,"&amp;D21&amp;",*")+COUNTIF(N15:O15,D21)+COUNTIF(N15:O15,"*,"&amp;D21&amp;",*")+COUNTIF(B17:C17,D21)+COUNTIF(B17:C17,"*,"&amp;D21&amp;",*")+COUNTIF(E17:F17,D21)+COUNTIF(E17:F17,"*,"&amp;D21&amp;",*")+COUNTIF(H17:I17,D21)+COUNTIF(H17:I17,"*,"&amp;D21&amp;",*")+COUNTIF(K17:L17,D21)+COUNTIF(K17:L17,"*,"&amp;D21&amp;",*")+COUNTIF(N17:O17,D21)+COUNTIF(N17:O17,"*,"&amp;D21&amp;",*")))</f>
        <v/>
      </c>
      <c r="E24" s="21">
        <f>IF(E21="","",IF(COUNTIF(B5:C5,E21)+COUNTIF(B5:C5,"*,"&amp;E21&amp;",*")+COUNTIF(E5:F5,E21)+COUNTIF(E5:F5,"*,"&amp;E21&amp;",*")+COUNTIF(H5:I5,E21)+COUNTIF(H5:I5,"*,"&amp;E21&amp;",*")+COUNTIF(K5:L5,E21)+COUNTIF(K5:L5,"*,"&amp;E21&amp;",*")+COUNTIF(N5:O5,E21)+COUNTIF(N5:O5,"*,"&amp;E21&amp;",*")+COUNTIF(B7:C7,E21)+COUNTIF(B7:C7,"*,"&amp;E21&amp;",*")+COUNTIF(E7:F7,E21)+COUNTIF(E7:F7,"*,"&amp;E21&amp;",*")+COUNTIF(H7:I7,E21)+COUNTIF(H7:I7,"*,"&amp;E21&amp;",*")+COUNTIF(K7:L7,E21)+COUNTIF(K7:L7,"*,"&amp;E21&amp;",*")+COUNTIF(N7:O7,E21)+COUNTIF(N7:O7,"*,"&amp;E21&amp;",*")+COUNTIF(B9:C9,E21)+COUNTIF(B9:C9,"*,"&amp;E21&amp;",*")+COUNTIF(E9:F9,E21)+COUNTIF(E9:F9,"*,"&amp;E21&amp;",*")+COUNTIF(H9:I9,E21)+COUNTIF(H9:I9,"*,"&amp;E21&amp;",*")+COUNTIF(K9:L9,E21)+COUNTIF(K9:L9,"*,"&amp;E21&amp;",*")+COUNTIF(N9:O9,E21)+COUNTIF(N9:O9,"*,"&amp;E21&amp;",*")+COUNTIF(B11:C11,E21)+COUNTIF(B11:C11,"*,"&amp;E21&amp;",*")+COUNTIF(E11:F11,E21)+COUNTIF(E11:F11,"*,"&amp;E21&amp;",*")+COUNTIF(H11:I11,E21)+COUNTIF(H11:I11,"*,"&amp;E21&amp;",*")+COUNTIF(K11:L11,E21)+COUNTIF(K11:L11,"*,"&amp;E21&amp;",*")+COUNTIF(N11:O11,E21)+COUNTIF(N11:O11,"*,"&amp;E21&amp;",*")+COUNTIF(B13:C13,E21)+COUNTIF(B13:C13,"*,"&amp;E21&amp;",*")+COUNTIF(E13:F13,E21)+COUNTIF(E13:F13,"*,"&amp;E21&amp;",*")+COUNTIF(H13:I13,E21)+COUNTIF(H13:I13,"*,"&amp;E21&amp;",*")+COUNTIF(K13:L13,E21)+COUNTIF(K13:L13,"*,"&amp;E21&amp;",*")+COUNTIF(N13:O13,E21)+COUNTIF(N13:O13,"*,"&amp;E21&amp;",*")+COUNTIF(B15:C15,E21)+COUNTIF(B15:C15,"*,"&amp;E21&amp;",*")+COUNTIF(E15:F15,E21)+COUNTIF(E15:F15,"*,"&amp;E21&amp;",*")+COUNTIF(H15:I15,E21)+COUNTIF(H15:I15,"*,"&amp;E21&amp;",*")+COUNTIF(K15:L15,E21)+COUNTIF(K15:L15,"*,"&amp;E21&amp;",*")+COUNTIF(N15:O15,E21)+COUNTIF(N15:O15,"*,"&amp;E21&amp;",*")+COUNTIF(B17:C17,E21)+COUNTIF(B17:C17,"*,"&amp;E21&amp;",*")+COUNTIF(E17:F17,E21)+COUNTIF(E17:F17,"*,"&amp;E21&amp;",*")+COUNTIF(H17:I17,E21)+COUNTIF(H17:I17,"*,"&amp;E21&amp;",*")+COUNTIF(K17:L17,E21)+COUNTIF(K17:L17,"*,"&amp;E21&amp;",*")+COUNTIF(N17:O17,E21)+COUNTIF(N17:O17,"*,"&amp;E21&amp;",*")=0,"",COUNTIF(B5:C5,E21)+COUNTIF(B5:C5,"*,"&amp;E21&amp;",*")+COUNTIF(E5:F5,E21)+COUNTIF(E5:F5,"*,"&amp;E21&amp;",*")+COUNTIF(H5:I5,E21)+COUNTIF(H5:I5,"*,"&amp;E21&amp;",*")+COUNTIF(K5:L5,E21)+COUNTIF(K5:L5,"*,"&amp;E21&amp;",*")+COUNTIF(N5:O5,E21)+COUNTIF(N5:O5,"*,"&amp;E21&amp;",*")+COUNTIF(B7:C7,E21)+COUNTIF(B7:C7,"*,"&amp;E21&amp;",*")+COUNTIF(E7:F7,E21)+COUNTIF(E7:F7,"*,"&amp;E21&amp;",*")+COUNTIF(H7:I7,E21)+COUNTIF(H7:I7,"*,"&amp;E21&amp;",*")+COUNTIF(K7:L7,E21)+COUNTIF(K7:L7,"*,"&amp;E21&amp;",*")+COUNTIF(N7:O7,E21)+COUNTIF(N7:O7,"*,"&amp;E21&amp;",*")+COUNTIF(B9:C9,E21)+COUNTIF(B9:C9,"*,"&amp;E21&amp;",*")+COUNTIF(E9:F9,E21)+COUNTIF(E9:F9,"*,"&amp;E21&amp;",*")+COUNTIF(H9:I9,E21)+COUNTIF(H9:I9,"*,"&amp;E21&amp;",*")+COUNTIF(K9:L9,E21)+COUNTIF(K9:L9,"*,"&amp;E21&amp;",*")+COUNTIF(N9:O9,E21)+COUNTIF(N9:O9,"*,"&amp;E21&amp;",*")+COUNTIF(B11:C11,E21)+COUNTIF(B11:C11,"*,"&amp;E21&amp;",*")+COUNTIF(E11:F11,E21)+COUNTIF(E11:F11,"*,"&amp;E21&amp;",*")+COUNTIF(H11:I11,E21)+COUNTIF(H11:I11,"*,"&amp;E21&amp;",*")+COUNTIF(K11:L11,E21)+COUNTIF(K11:L11,"*,"&amp;E21&amp;",*")+COUNTIF(N11:O11,E21)+COUNTIF(N11:O11,"*,"&amp;E21&amp;",*")+COUNTIF(B13:C13,E21)+COUNTIF(B13:C13,"*,"&amp;E21&amp;",*")+COUNTIF(E13:F13,E21)+COUNTIF(E13:F13,"*,"&amp;E21&amp;",*")+COUNTIF(H13:I13,E21)+COUNTIF(H13:I13,"*,"&amp;E21&amp;",*")+COUNTIF(K13:L13,E21)+COUNTIF(K13:L13,"*,"&amp;E21&amp;",*")+COUNTIF(N13:O13,E21)+COUNTIF(N13:O13,"*,"&amp;E21&amp;",*")+COUNTIF(B15:C15,E21)+COUNTIF(B15:C15,"*,"&amp;E21&amp;",*")+COUNTIF(E15:F15,E21)+COUNTIF(E15:F15,"*,"&amp;E21&amp;",*")+COUNTIF(H15:I15,E21)+COUNTIF(H15:I15,"*,"&amp;E21&amp;",*")+COUNTIF(K15:L15,E21)+COUNTIF(K15:L15,"*,"&amp;E21&amp;",*")+COUNTIF(N15:O15,E21)+COUNTIF(N15:O15,"*,"&amp;E21&amp;",*")+COUNTIF(B17:C17,E21)+COUNTIF(B17:C17,"*,"&amp;E21&amp;",*")+COUNTIF(E17:F17,E21)+COUNTIF(E17:F17,"*,"&amp;E21&amp;",*")+COUNTIF(H17:I17,E21)+COUNTIF(H17:I17,"*,"&amp;E21&amp;",*")+COUNTIF(K17:L17,E21)+COUNTIF(K17:L17,"*,"&amp;E21&amp;",*")+COUNTIF(N17:O17,E21)+COUNTIF(N17:O17,"*,"&amp;E21&amp;",*")))</f>
        <v/>
      </c>
      <c r="F24" s="21">
        <f>IF(F21="","",IF(COUNTIF(B5:C5,F21)+COUNTIF(B5:C5,"*,"&amp;F21&amp;",*")+COUNTIF(E5:F5,F21)+COUNTIF(E5:F5,"*,"&amp;F21&amp;",*")+COUNTIF(H5:I5,F21)+COUNTIF(H5:I5,"*,"&amp;F21&amp;",*")+COUNTIF(K5:L5,F21)+COUNTIF(K5:L5,"*,"&amp;F21&amp;",*")+COUNTIF(N5:O5,F21)+COUNTIF(N5:O5,"*,"&amp;F21&amp;",*")+COUNTIF(B7:C7,F21)+COUNTIF(B7:C7,"*,"&amp;F21&amp;",*")+COUNTIF(E7:F7,F21)+COUNTIF(E7:F7,"*,"&amp;F21&amp;",*")+COUNTIF(H7:I7,F21)+COUNTIF(H7:I7,"*,"&amp;F21&amp;",*")+COUNTIF(K7:L7,F21)+COUNTIF(K7:L7,"*,"&amp;F21&amp;",*")+COUNTIF(N7:O7,F21)+COUNTIF(N7:O7,"*,"&amp;F21&amp;",*")+COUNTIF(B9:C9,F21)+COUNTIF(B9:C9,"*,"&amp;F21&amp;",*")+COUNTIF(E9:F9,F21)+COUNTIF(E9:F9,"*,"&amp;F21&amp;",*")+COUNTIF(H9:I9,F21)+COUNTIF(H9:I9,"*,"&amp;F21&amp;",*")+COUNTIF(K9:L9,F21)+COUNTIF(K9:L9,"*,"&amp;F21&amp;",*")+COUNTIF(N9:O9,F21)+COUNTIF(N9:O9,"*,"&amp;F21&amp;",*")+COUNTIF(B11:C11,F21)+COUNTIF(B11:C11,"*,"&amp;F21&amp;",*")+COUNTIF(E11:F11,F21)+COUNTIF(E11:F11,"*,"&amp;F21&amp;",*")+COUNTIF(H11:I11,F21)+COUNTIF(H11:I11,"*,"&amp;F21&amp;",*")+COUNTIF(K11:L11,F21)+COUNTIF(K11:L11,"*,"&amp;F21&amp;",*")+COUNTIF(N11:O11,F21)+COUNTIF(N11:O11,"*,"&amp;F21&amp;",*")+COUNTIF(B13:C13,F21)+COUNTIF(B13:C13,"*,"&amp;F21&amp;",*")+COUNTIF(E13:F13,F21)+COUNTIF(E13:F13,"*,"&amp;F21&amp;",*")+COUNTIF(H13:I13,F21)+COUNTIF(H13:I13,"*,"&amp;F21&amp;",*")+COUNTIF(K13:L13,F21)+COUNTIF(K13:L13,"*,"&amp;F21&amp;",*")+COUNTIF(N13:O13,F21)+COUNTIF(N13:O13,"*,"&amp;F21&amp;",*")+COUNTIF(B15:C15,F21)+COUNTIF(B15:C15,"*,"&amp;F21&amp;",*")+COUNTIF(E15:F15,F21)+COUNTIF(E15:F15,"*,"&amp;F21&amp;",*")+COUNTIF(H15:I15,F21)+COUNTIF(H15:I15,"*,"&amp;F21&amp;",*")+COUNTIF(K15:L15,F21)+COUNTIF(K15:L15,"*,"&amp;F21&amp;",*")+COUNTIF(N15:O15,F21)+COUNTIF(N15:O15,"*,"&amp;F21&amp;",*")+COUNTIF(B17:C17,F21)+COUNTIF(B17:C17,"*,"&amp;F21&amp;",*")+COUNTIF(E17:F17,F21)+COUNTIF(E17:F17,"*,"&amp;F21&amp;",*")+COUNTIF(H17:I17,F21)+COUNTIF(H17:I17,"*,"&amp;F21&amp;",*")+COUNTIF(K17:L17,F21)+COUNTIF(K17:L17,"*,"&amp;F21&amp;",*")+COUNTIF(N17:O17,F21)+COUNTIF(N17:O17,"*,"&amp;F21&amp;",*")=0,"",COUNTIF(B5:C5,F21)+COUNTIF(B5:C5,"*,"&amp;F21&amp;",*")+COUNTIF(E5:F5,F21)+COUNTIF(E5:F5,"*,"&amp;F21&amp;",*")+COUNTIF(H5:I5,F21)+COUNTIF(H5:I5,"*,"&amp;F21&amp;",*")+COUNTIF(K5:L5,F21)+COUNTIF(K5:L5,"*,"&amp;F21&amp;",*")+COUNTIF(N5:O5,F21)+COUNTIF(N5:O5,"*,"&amp;F21&amp;",*")+COUNTIF(B7:C7,F21)+COUNTIF(B7:C7,"*,"&amp;F21&amp;",*")+COUNTIF(E7:F7,F21)+COUNTIF(E7:F7,"*,"&amp;F21&amp;",*")+COUNTIF(H7:I7,F21)+COUNTIF(H7:I7,"*,"&amp;F21&amp;",*")+COUNTIF(K7:L7,F21)+COUNTIF(K7:L7,"*,"&amp;F21&amp;",*")+COUNTIF(N7:O7,F21)+COUNTIF(N7:O7,"*,"&amp;F21&amp;",*")+COUNTIF(B9:C9,F21)+COUNTIF(B9:C9,"*,"&amp;F21&amp;",*")+COUNTIF(E9:F9,F21)+COUNTIF(E9:F9,"*,"&amp;F21&amp;",*")+COUNTIF(H9:I9,F21)+COUNTIF(H9:I9,"*,"&amp;F21&amp;",*")+COUNTIF(K9:L9,F21)+COUNTIF(K9:L9,"*,"&amp;F21&amp;",*")+COUNTIF(N9:O9,F21)+COUNTIF(N9:O9,"*,"&amp;F21&amp;",*")+COUNTIF(B11:C11,F21)+COUNTIF(B11:C11,"*,"&amp;F21&amp;",*")+COUNTIF(E11:F11,F21)+COUNTIF(E11:F11,"*,"&amp;F21&amp;",*")+COUNTIF(H11:I11,F21)+COUNTIF(H11:I11,"*,"&amp;F21&amp;",*")+COUNTIF(K11:L11,F21)+COUNTIF(K11:L11,"*,"&amp;F21&amp;",*")+COUNTIF(N11:O11,F21)+COUNTIF(N11:O11,"*,"&amp;F21&amp;",*")+COUNTIF(B13:C13,F21)+COUNTIF(B13:C13,"*,"&amp;F21&amp;",*")+COUNTIF(E13:F13,F21)+COUNTIF(E13:F13,"*,"&amp;F21&amp;",*")+COUNTIF(H13:I13,F21)+COUNTIF(H13:I13,"*,"&amp;F21&amp;",*")+COUNTIF(K13:L13,F21)+COUNTIF(K13:L13,"*,"&amp;F21&amp;",*")+COUNTIF(N13:O13,F21)+COUNTIF(N13:O13,"*,"&amp;F21&amp;",*")+COUNTIF(B15:C15,F21)+COUNTIF(B15:C15,"*,"&amp;F21&amp;",*")+COUNTIF(E15:F15,F21)+COUNTIF(E15:F15,"*,"&amp;F21&amp;",*")+COUNTIF(H15:I15,F21)+COUNTIF(H15:I15,"*,"&amp;F21&amp;",*")+COUNTIF(K15:L15,F21)+COUNTIF(K15:L15,"*,"&amp;F21&amp;",*")+COUNTIF(N15:O15,F21)+COUNTIF(N15:O15,"*,"&amp;F21&amp;",*")+COUNTIF(B17:C17,F21)+COUNTIF(B17:C17,"*,"&amp;F21&amp;",*")+COUNTIF(E17:F17,F21)+COUNTIF(E17:F17,"*,"&amp;F21&amp;",*")+COUNTIF(H17:I17,F21)+COUNTIF(H17:I17,"*,"&amp;F21&amp;",*")+COUNTIF(K17:L17,F21)+COUNTIF(K17:L17,"*,"&amp;F21&amp;",*")+COUNTIF(N17:O17,F21)+COUNTIF(N17:O17,"*,"&amp;F21&amp;",*")))</f>
        <v/>
      </c>
      <c r="G24" s="21">
        <f>IF(G21="","",IF(COUNTIF(B5:C5,G21)+COUNTIF(B5:C5,"*,"&amp;G21&amp;",*")+COUNTIF(E5:F5,G21)+COUNTIF(E5:F5,"*,"&amp;G21&amp;",*")+COUNTIF(H5:I5,G21)+COUNTIF(H5:I5,"*,"&amp;G21&amp;",*")+COUNTIF(K5:L5,G21)+COUNTIF(K5:L5,"*,"&amp;G21&amp;",*")+COUNTIF(N5:O5,G21)+COUNTIF(N5:O5,"*,"&amp;G21&amp;",*")+COUNTIF(B7:C7,G21)+COUNTIF(B7:C7,"*,"&amp;G21&amp;",*")+COUNTIF(E7:F7,G21)+COUNTIF(E7:F7,"*,"&amp;G21&amp;",*")+COUNTIF(H7:I7,G21)+COUNTIF(H7:I7,"*,"&amp;G21&amp;",*")+COUNTIF(K7:L7,G21)+COUNTIF(K7:L7,"*,"&amp;G21&amp;",*")+COUNTIF(N7:O7,G21)+COUNTIF(N7:O7,"*,"&amp;G21&amp;",*")+COUNTIF(B9:C9,G21)+COUNTIF(B9:C9,"*,"&amp;G21&amp;",*")+COUNTIF(E9:F9,G21)+COUNTIF(E9:F9,"*,"&amp;G21&amp;",*")+COUNTIF(H9:I9,G21)+COUNTIF(H9:I9,"*,"&amp;G21&amp;",*")+COUNTIF(K9:L9,G21)+COUNTIF(K9:L9,"*,"&amp;G21&amp;",*")+COUNTIF(N9:O9,G21)+COUNTIF(N9:O9,"*,"&amp;G21&amp;",*")+COUNTIF(B11:C11,G21)+COUNTIF(B11:C11,"*,"&amp;G21&amp;",*")+COUNTIF(E11:F11,G21)+COUNTIF(E11:F11,"*,"&amp;G21&amp;",*")+COUNTIF(H11:I11,G21)+COUNTIF(H11:I11,"*,"&amp;G21&amp;",*")+COUNTIF(K11:L11,G21)+COUNTIF(K11:L11,"*,"&amp;G21&amp;",*")+COUNTIF(N11:O11,G21)+COUNTIF(N11:O11,"*,"&amp;G21&amp;",*")+COUNTIF(B13:C13,G21)+COUNTIF(B13:C13,"*,"&amp;G21&amp;",*")+COUNTIF(E13:F13,G21)+COUNTIF(E13:F13,"*,"&amp;G21&amp;",*")+COUNTIF(H13:I13,G21)+COUNTIF(H13:I13,"*,"&amp;G21&amp;",*")+COUNTIF(K13:L13,G21)+COUNTIF(K13:L13,"*,"&amp;G21&amp;",*")+COUNTIF(N13:O13,G21)+COUNTIF(N13:O13,"*,"&amp;G21&amp;",*")+COUNTIF(B15:C15,G21)+COUNTIF(B15:C15,"*,"&amp;G21&amp;",*")+COUNTIF(E15:F15,G21)+COUNTIF(E15:F15,"*,"&amp;G21&amp;",*")+COUNTIF(H15:I15,G21)+COUNTIF(H15:I15,"*,"&amp;G21&amp;",*")+COUNTIF(K15:L15,G21)+COUNTIF(K15:L15,"*,"&amp;G21&amp;",*")+COUNTIF(N15:O15,G21)+COUNTIF(N15:O15,"*,"&amp;G21&amp;",*")+COUNTIF(B17:C17,G21)+COUNTIF(B17:C17,"*,"&amp;G21&amp;",*")+COUNTIF(E17:F17,G21)+COUNTIF(E17:F17,"*,"&amp;G21&amp;",*")+COUNTIF(H17:I17,G21)+COUNTIF(H17:I17,"*,"&amp;G21&amp;",*")+COUNTIF(K17:L17,G21)+COUNTIF(K17:L17,"*,"&amp;G21&amp;",*")+COUNTIF(N17:O17,G21)+COUNTIF(N17:O17,"*,"&amp;G21&amp;",*")=0,"",COUNTIF(B5:C5,G21)+COUNTIF(B5:C5,"*,"&amp;G21&amp;",*")+COUNTIF(E5:F5,G21)+COUNTIF(E5:F5,"*,"&amp;G21&amp;",*")+COUNTIF(H5:I5,G21)+COUNTIF(H5:I5,"*,"&amp;G21&amp;",*")+COUNTIF(K5:L5,G21)+COUNTIF(K5:L5,"*,"&amp;G21&amp;",*")+COUNTIF(N5:O5,G21)+COUNTIF(N5:O5,"*,"&amp;G21&amp;",*")+COUNTIF(B7:C7,G21)+COUNTIF(B7:C7,"*,"&amp;G21&amp;",*")+COUNTIF(E7:F7,G21)+COUNTIF(E7:F7,"*,"&amp;G21&amp;",*")+COUNTIF(H7:I7,G21)+COUNTIF(H7:I7,"*,"&amp;G21&amp;",*")+COUNTIF(K7:L7,G21)+COUNTIF(K7:L7,"*,"&amp;G21&amp;",*")+COUNTIF(N7:O7,G21)+COUNTIF(N7:O7,"*,"&amp;G21&amp;",*")+COUNTIF(B9:C9,G21)+COUNTIF(B9:C9,"*,"&amp;G21&amp;",*")+COUNTIF(E9:F9,G21)+COUNTIF(E9:F9,"*,"&amp;G21&amp;",*")+COUNTIF(H9:I9,G21)+COUNTIF(H9:I9,"*,"&amp;G21&amp;",*")+COUNTIF(K9:L9,G21)+COUNTIF(K9:L9,"*,"&amp;G21&amp;",*")+COUNTIF(N9:O9,G21)+COUNTIF(N9:O9,"*,"&amp;G21&amp;",*")+COUNTIF(B11:C11,G21)+COUNTIF(B11:C11,"*,"&amp;G21&amp;",*")+COUNTIF(E11:F11,G21)+COUNTIF(E11:F11,"*,"&amp;G21&amp;",*")+COUNTIF(H11:I11,G21)+COUNTIF(H11:I11,"*,"&amp;G21&amp;",*")+COUNTIF(K11:L11,G21)+COUNTIF(K11:L11,"*,"&amp;G21&amp;",*")+COUNTIF(N11:O11,G21)+COUNTIF(N11:O11,"*,"&amp;G21&amp;",*")+COUNTIF(B13:C13,G21)+COUNTIF(B13:C13,"*,"&amp;G21&amp;",*")+COUNTIF(E13:F13,G21)+COUNTIF(E13:F13,"*,"&amp;G21&amp;",*")+COUNTIF(H13:I13,G21)+COUNTIF(H13:I13,"*,"&amp;G21&amp;",*")+COUNTIF(K13:L13,G21)+COUNTIF(K13:L13,"*,"&amp;G21&amp;",*")+COUNTIF(N13:O13,G21)+COUNTIF(N13:O13,"*,"&amp;G21&amp;",*")+COUNTIF(B15:C15,G21)+COUNTIF(B15:C15,"*,"&amp;G21&amp;",*")+COUNTIF(E15:F15,G21)+COUNTIF(E15:F15,"*,"&amp;G21&amp;",*")+COUNTIF(H15:I15,G21)+COUNTIF(H15:I15,"*,"&amp;G21&amp;",*")+COUNTIF(K15:L15,G21)+COUNTIF(K15:L15,"*,"&amp;G21&amp;",*")+COUNTIF(N15:O15,G21)+COUNTIF(N15:O15,"*,"&amp;G21&amp;",*")+COUNTIF(B17:C17,G21)+COUNTIF(B17:C17,"*,"&amp;G21&amp;",*")+COUNTIF(E17:F17,G21)+COUNTIF(E17:F17,"*,"&amp;G21&amp;",*")+COUNTIF(H17:I17,G21)+COUNTIF(H17:I17,"*,"&amp;G21&amp;",*")+COUNTIF(K17:L17,G21)+COUNTIF(K17:L17,"*,"&amp;G21&amp;",*")+COUNTIF(N17:O17,G21)+COUNTIF(N17:O17,"*,"&amp;G21&amp;",*")))</f>
        <v/>
      </c>
      <c r="H24" s="21"/>
      <c r="I24" s="21"/>
      <c r="J24" s="21"/>
      <c r="K24" s="21"/>
      <c r="L24" s="21"/>
      <c r="M24" s="21">
        <f>IF(COUNTIF(B5:C5,"特活")+COUNTIF(B5:C5,"学活")+COUNTIF(E5:F5,"特活")+COUNTIF(E5:F5,"学活")+COUNTIF(H5:I5,"特活")+COUNTIF(H5:I5,"学活")+COUNTIF(K5:L5,"特活")+COUNTIF(K5:L5,"学活")+COUNTIF(N5:O5,"特活")+COUNTIF(N5:O5,"学活")+COUNTIF(B7:C7,"特活")+COUNTIF(B7:C7,"学活")+COUNTIF(E7:F7,"特活")+COUNTIF(E7:F7,"学活")+COUNTIF(H7:I7,"特活")+COUNTIF(H7:I7,"学活")+COUNTIF(K7:L7,"特活")+COUNTIF(K7:L7,"学活")+COUNTIF(N7:O7,"特活")+COUNTIF(N7:O7,"学活")+COUNTIF(B9:C9,"特活")+COUNTIF(B9:C9,"学活")+COUNTIF(E9:F9,"特活")+COUNTIF(E9:F9,"学活")+COUNTIF(H9:I9,"特活")+COUNTIF(H9:I9,"学活")+COUNTIF(K9:L9,"特活")+COUNTIF(K9:L9,"学活")+COUNTIF(N9:O9,"特活")+COUNTIF(N9:O9,"学活")+COUNTIF(B11:C11,"特活")+COUNTIF(B11:C11,"学活")+COUNTIF(E11:F11,"特活")+COUNTIF(E11:F11,"学活")+COUNTIF(H11:I11,"特活")+COUNTIF(H11:I11,"学活")+COUNTIF(K11:L11,"特活")+COUNTIF(K11:L11,"学活")+COUNTIF(N11:O11,"特活")+COUNTIF(N11:O11,"学活")+COUNTIF(B13:C13,"特活")+COUNTIF(B13:C13,"学活")+COUNTIF(E13:F13,"特活")+COUNTIF(E13:F13,"学活")+COUNTIF(H13:I13,"特活")+COUNTIF(H13:I13,"学活")+COUNTIF(K13:L13,"特活")+COUNTIF(K13:L13,"学活")+COUNTIF(N13:O13,"特活")+COUNTIF(N13:O13,"学活")+COUNTIF(B15:C15,"特活")+COUNTIF(B15:C15,"学活")+COUNTIF(E15:F15,"特活")+COUNTIF(E15:F15,"学活")+COUNTIF(H15:I15,"特活")+COUNTIF(H15:I15,"学活")+COUNTIF(K15:L15,"特活")+COUNTIF(K15:L15,"学活")+COUNTIF(N15:O15,"特活")+COUNTIF(N15:O15,"学活")+COUNTIF(B17:C17,"特活")+COUNTIF(B17:C17,"学活")+COUNTIF(E17:F17,"特活")+COUNTIF(E17:F17,"学活")+COUNTIF(H17:I17,"特活")+COUNTIF(H17:I17,"学活")+COUNTIF(K17:L17,"特活")+COUNTIF(K17:L17,"学活")+COUNTIF(N17:O17,"特活")+COUNTIF(N17:O17,"学活")=0,"",COUNTIF(B5:C5,"特活")+COUNTIF(B5:C5,"学活")+COUNTIF(E5:F5,"特活")+COUNTIF(E5:F5,"学活")+COUNTIF(H5:I5,"特活")+COUNTIF(H5:I5,"学活")+COUNTIF(K5:L5,"特活")+COUNTIF(K5:L5,"学活")+COUNTIF(N5:O5,"特活")+COUNTIF(N5:O5,"学活")+COUNTIF(B7:C7,"特活")+COUNTIF(B7:C7,"学活")+COUNTIF(E7:F7,"特活")+COUNTIF(E7:F7,"学活")+COUNTIF(H7:I7,"特活")+COUNTIF(H7:I7,"学活")+COUNTIF(K7:L7,"特活")+COUNTIF(K7:L7,"学活")+COUNTIF(N7:O7,"特活")+COUNTIF(N7:O7,"学活")+COUNTIF(B9:C9,"特活")+COUNTIF(B9:C9,"学活")+COUNTIF(E9:F9,"特活")+COUNTIF(E9:F9,"学活")+COUNTIF(H9:I9,"特活")+COUNTIF(H9:I9,"学活")+COUNTIF(K9:L9,"特活")+COUNTIF(K9:L9,"学活")+COUNTIF(N9:O9,"特活")+COUNTIF(N9:O9,"学活")+COUNTIF(B11:C11,"特活")+COUNTIF(B11:C11,"学活")+COUNTIF(E11:F11,"特活")+COUNTIF(E11:F11,"学活")+COUNTIF(H11:I11,"特活")+COUNTIF(H11:I11,"学活")+COUNTIF(K11:L11,"特活")+COUNTIF(K11:L11,"学活")+COUNTIF(N11:O11,"特活")+COUNTIF(N11:O11,"学活")+COUNTIF(B13:C13,"特活")+COUNTIF(B13:C13,"学活")+COUNTIF(E13:F13,"特活")+COUNTIF(E13:F13,"学活")+COUNTIF(H13:I13,"特活")+COUNTIF(H13:I13,"学活")+COUNTIF(K13:L13,"特活")+COUNTIF(K13:L13,"学活")+COUNTIF(N13:O13,"特活")+COUNTIF(N13:O13,"学活")+COUNTIF(B15:C15,"特活")+COUNTIF(B15:C15,"学活")+COUNTIF(E15:F15,"特活")+COUNTIF(E15:F15,"学活")+COUNTIF(H15:I15,"特活")+COUNTIF(H15:I15,"学活")+COUNTIF(K15:L15,"特活")+COUNTIF(K15:L15,"学活")+COUNTIF(N15:O15,"特活")+COUNTIF(N15:O15,"学活")+COUNTIF(B17:C17,"特活")+COUNTIF(B17:C17,"学活")+COUNTIF(E17:F17,"特活")+COUNTIF(E17:F17,"学活")+COUNTIF(H17:I17,"特活")+COUNTIF(H17:I17,"学活")+COUNTIF(K17:L17,"特活")+COUNTIF(K17:L17,"学活")+COUNTIF(N17:O17,"特活")+COUNTIF(N17:O17,"学活"))</f>
        <v/>
      </c>
      <c r="N24" s="21">
        <f>IF(COUNTIF(B5:C5,N21)+COUNTIF(B5:C5,"*,"&amp;N21&amp;",*")+COUNTIF(E5:F5,N21)+COUNTIF(E5:F5,"*,"&amp;N21&amp;",*")+COUNTIF(H5:I5,N21)+COUNTIF(H5:I5,"*,"&amp;N21&amp;",*")+COUNTIF(K5:L5,N21)+COUNTIF(K5:L5,"*,"&amp;N21&amp;",*")+COUNTIF(N5:O5,N21)+COUNTIF(N5:O5,"*,"&amp;N21&amp;",*")+COUNTIF(B7:C7,N21)+COUNTIF(B7:C7,"*,"&amp;N21&amp;",*")+COUNTIF(E7:F7,N21)+COUNTIF(E7:F7,"*,"&amp;N21&amp;",*")+COUNTIF(H7:I7,N21)+COUNTIF(H7:I7,"*,"&amp;N21&amp;",*")+COUNTIF(K7:L7,N21)+COUNTIF(K7:L7,"*,"&amp;N21&amp;",*")+COUNTIF(N7:O7,N21)+COUNTIF(N7:O7,"*,"&amp;N21&amp;",*")+COUNTIF(B9:C9,N21)+COUNTIF(B9:C9,"*,"&amp;N21&amp;",*")+COUNTIF(E9:F9,N21)+COUNTIF(E9:F9,"*,"&amp;N21&amp;",*")+COUNTIF(H9:I9,N21)+COUNTIF(H9:I9,"*,"&amp;N21&amp;",*")+COUNTIF(K9:L9,N21)+COUNTIF(K9:L9,"*,"&amp;N21&amp;",*")+COUNTIF(N9:O9,N21)+COUNTIF(N9:O9,"*,"&amp;N21&amp;",*")+COUNTIF(B11:C11,N21)+COUNTIF(B11:C11,"*,"&amp;N21&amp;",*")+COUNTIF(E11:F11,N21)+COUNTIF(E11:F11,"*,"&amp;N21&amp;",*")+COUNTIF(H11:I11,N21)+COUNTIF(H11:I11,"*,"&amp;N21&amp;",*")+COUNTIF(K11:L11,N21)+COUNTIF(K11:L11,"*,"&amp;N21&amp;",*")+COUNTIF(N11:O11,N21)+COUNTIF(N11:O11,"*,"&amp;N21&amp;",*")+COUNTIF(B13:C13,N21)+COUNTIF(B13:C13,"*,"&amp;N21&amp;",*")+COUNTIF(E13:F13,N21)+COUNTIF(E13:F13,"*,"&amp;N21&amp;",*")+COUNTIF(H13:I13,N21)+COUNTIF(H13:I13,"*,"&amp;N21&amp;",*")+COUNTIF(K13:L13,N21)+COUNTIF(K13:L13,"*,"&amp;N21&amp;",*")+COUNTIF(N13:O13,N21)+COUNTIF(N13:O13,"*,"&amp;N21&amp;",*")+COUNTIF(B15:C15,N21)+COUNTIF(B15:C15,"*,"&amp;N21&amp;",*")+COUNTIF(E15:F15,N21)+COUNTIF(E15:F15,"*,"&amp;N21&amp;",*")+COUNTIF(H15:I15,N21)+COUNTIF(H15:I15,"*,"&amp;N21&amp;",*")+COUNTIF(K15:L15,N21)+COUNTIF(K15:L15,"*,"&amp;N21&amp;",*")+COUNTIF(N15:O15,N21)+COUNTIF(N15:O15,"*,"&amp;N21&amp;",*")+COUNTIF(B17:C17,N21)+COUNTIF(B17:C17,"*,"&amp;N21&amp;",*")+COUNTIF(E17:F17,N21)+COUNTIF(E17:F17,"*,"&amp;N21&amp;",*")+COUNTIF(H17:I17,N21)+COUNTIF(H17:I17,"*,"&amp;N21&amp;",*")+COUNTIF(K17:L17,N21)+COUNTIF(K17:L17,"*,"&amp;N21&amp;",*")+COUNTIF(N17:O17,N21)+COUNTIF(N17:O17,"*,"&amp;N21&amp;",*")=0,"",COUNTIF(B5:C5,N21)+COUNTIF(B5:C5,"*,"&amp;N21&amp;",*")+COUNTIF(E5:F5,N21)+COUNTIF(E5:F5,"*,"&amp;N21&amp;",*")+COUNTIF(H5:I5,N21)+COUNTIF(H5:I5,"*,"&amp;N21&amp;",*")+COUNTIF(K5:L5,N21)+COUNTIF(K5:L5,"*,"&amp;N21&amp;",*")+COUNTIF(N5:O5,N21)+COUNTIF(N5:O5,"*,"&amp;N21&amp;",*")+COUNTIF(B7:C7,N21)+COUNTIF(B7:C7,"*,"&amp;N21&amp;",*")+COUNTIF(E7:F7,N21)+COUNTIF(E7:F7,"*,"&amp;N21&amp;",*")+COUNTIF(H7:I7,N21)+COUNTIF(H7:I7,"*,"&amp;N21&amp;",*")+COUNTIF(K7:L7,N21)+COUNTIF(K7:L7,"*,"&amp;N21&amp;",*")+COUNTIF(N7:O7,N21)+COUNTIF(N7:O7,"*,"&amp;N21&amp;",*")+COUNTIF(B9:C9,N21)+COUNTIF(B9:C9,"*,"&amp;N21&amp;",*")+COUNTIF(E9:F9,N21)+COUNTIF(E9:F9,"*,"&amp;N21&amp;",*")+COUNTIF(H9:I9,N21)+COUNTIF(H9:I9,"*,"&amp;N21&amp;",*")+COUNTIF(K9:L9,N21)+COUNTIF(K9:L9,"*,"&amp;N21&amp;",*")+COUNTIF(N9:O9,N21)+COUNTIF(N9:O9,"*,"&amp;N21&amp;",*")+COUNTIF(B11:C11,N21)+COUNTIF(B11:C11,"*,"&amp;N21&amp;",*")+COUNTIF(E11:F11,N21)+COUNTIF(E11:F11,"*,"&amp;N21&amp;",*")+COUNTIF(H11:I11,N21)+COUNTIF(H11:I11,"*,"&amp;N21&amp;",*")+COUNTIF(K11:L11,N21)+COUNTIF(K11:L11,"*,"&amp;N21&amp;",*")+COUNTIF(N11:O11,N21)+COUNTIF(N11:O11,"*,"&amp;N21&amp;",*")+COUNTIF(B13:C13,N21)+COUNTIF(B13:C13,"*,"&amp;N21&amp;",*")+COUNTIF(E13:F13,N21)+COUNTIF(E13:F13,"*,"&amp;N21&amp;",*")+COUNTIF(H13:I13,N21)+COUNTIF(H13:I13,"*,"&amp;N21&amp;",*")+COUNTIF(K13:L13,N21)+COUNTIF(K13:L13,"*,"&amp;N21&amp;",*")+COUNTIF(N13:O13,N21)+COUNTIF(N13:O13,"*,"&amp;N21&amp;",*")+COUNTIF(B15:C15,N21)+COUNTIF(B15:C15,"*,"&amp;N21&amp;",*")+COUNTIF(E15:F15,N21)+COUNTIF(E15:F15,"*,"&amp;N21&amp;",*")+COUNTIF(H15:I15,N21)+COUNTIF(H15:I15,"*,"&amp;N21&amp;",*")+COUNTIF(K15:L15,N21)+COUNTIF(K15:L15,"*,"&amp;N21&amp;",*")+COUNTIF(N15:O15,N21)+COUNTIF(N15:O15,"*,"&amp;N21&amp;",*")+COUNTIF(B17:C17,N21)+COUNTIF(B17:C17,"*,"&amp;N21&amp;",*")+COUNTIF(E17:F17,N21)+COUNTIF(E17:F17,"*,"&amp;N21&amp;",*")+COUNTIF(H17:I17,N21)+COUNTIF(H17:I17,"*,"&amp;N21&amp;",*")+COUNTIF(K17:L17,N21)+COUNTIF(K17:L17,"*,"&amp;N21&amp;",*")+COUNTIF(N17:O17,N21)+COUNTIF(N17:O17,"*,"&amp;N21&amp;",*"))</f>
        <v/>
      </c>
      <c r="O24" s="21">
        <f>IF(COUNTIF(B5:C5,O21)+COUNTIF(B5:C5,"*,"&amp;O21&amp;",*")+COUNTIF(E5:F5,O21)+COUNTIF(E5:F5,"*,"&amp;O21&amp;",*")+COUNTIF(H5:I5,O21)+COUNTIF(H5:I5,"*,"&amp;O21&amp;",*")+COUNTIF(K5:L5,O21)+COUNTIF(K5:L5,"*,"&amp;O21&amp;",*")+COUNTIF(N5:O5,O21)+COUNTIF(N5:O5,"*,"&amp;O21&amp;",*")+COUNTIF(B7:C7,O21)+COUNTIF(B7:C7,"*,"&amp;O21&amp;",*")+COUNTIF(E7:F7,O21)+COUNTIF(E7:F7,"*,"&amp;O21&amp;",*")+COUNTIF(H7:I7,O21)+COUNTIF(H7:I7,"*,"&amp;O21&amp;",*")+COUNTIF(K7:L7,O21)+COUNTIF(K7:L7,"*,"&amp;O21&amp;",*")+COUNTIF(N7:O7,O21)+COUNTIF(N7:O7,"*,"&amp;O21&amp;",*")+COUNTIF(B9:C9,O21)+COUNTIF(B9:C9,"*,"&amp;O21&amp;",*")+COUNTIF(E9:F9,O21)+COUNTIF(E9:F9,"*,"&amp;O21&amp;",*")+COUNTIF(H9:I9,O21)+COUNTIF(H9:I9,"*,"&amp;O21&amp;",*")+COUNTIF(K9:L9,O21)+COUNTIF(K9:L9,"*,"&amp;O21&amp;",*")+COUNTIF(N9:O9,O21)+COUNTIF(N9:O9,"*,"&amp;O21&amp;",*")+COUNTIF(B11:C11,O21)+COUNTIF(B11:C11,"*,"&amp;O21&amp;",*")+COUNTIF(E11:F11,O21)+COUNTIF(E11:F11,"*,"&amp;O21&amp;",*")+COUNTIF(H11:I11,O21)+COUNTIF(H11:I11,"*,"&amp;O21&amp;",*")+COUNTIF(K11:L11,O21)+COUNTIF(K11:L11,"*,"&amp;O21&amp;",*")+COUNTIF(N11:O11,O21)+COUNTIF(N11:O11,"*,"&amp;O21&amp;",*")+COUNTIF(B13:C13,O21)+COUNTIF(B13:C13,"*,"&amp;O21&amp;",*")+COUNTIF(E13:F13,O21)+COUNTIF(E13:F13,"*,"&amp;O21&amp;",*")+COUNTIF(H13:I13,O21)+COUNTIF(H13:I13,"*,"&amp;O21&amp;",*")+COUNTIF(K13:L13,O21)+COUNTIF(K13:L13,"*,"&amp;O21&amp;",*")+COUNTIF(N13:O13,O21)+COUNTIF(N13:O13,"*,"&amp;O21&amp;",*")+COUNTIF(B15:C15,O21)+COUNTIF(B15:C15,"*,"&amp;O21&amp;",*")+COUNTIF(E15:F15,O21)+COUNTIF(E15:F15,"*,"&amp;O21&amp;",*")+COUNTIF(H15:I15,O21)+COUNTIF(H15:I15,"*,"&amp;O21&amp;",*")+COUNTIF(K15:L15,O21)+COUNTIF(K15:L15,"*,"&amp;O21&amp;",*")+COUNTIF(N15:O15,O21)+COUNTIF(N15:O15,"*,"&amp;O21&amp;",*")+COUNTIF(B17:C17,O21)+COUNTIF(B17:C17,"*,"&amp;O21&amp;",*")+COUNTIF(E17:F17,O21)+COUNTIF(E17:F17,"*,"&amp;O21&amp;",*")+COUNTIF(H17:I17,O21)+COUNTIF(H17:I17,"*,"&amp;O21&amp;",*")+COUNTIF(K17:L17,O21)+COUNTIF(K17:L17,"*,"&amp;O21&amp;",*")+COUNTIF(N17:O17,O21)+COUNTIF(N17:O17,"*,"&amp;O21&amp;",*")=0,"",COUNTIF(B5:C5,O21)+COUNTIF(B5:C5,"*,"&amp;O21&amp;",*")+COUNTIF(E5:F5,O21)+COUNTIF(E5:F5,"*,"&amp;O21&amp;",*")+COUNTIF(H5:I5,O21)+COUNTIF(H5:I5,"*,"&amp;O21&amp;",*")+COUNTIF(K5:L5,O21)+COUNTIF(K5:L5,"*,"&amp;O21&amp;",*")+COUNTIF(N5:O5,O21)+COUNTIF(N5:O5,"*,"&amp;O21&amp;",*")+COUNTIF(B7:C7,O21)+COUNTIF(B7:C7,"*,"&amp;O21&amp;",*")+COUNTIF(E7:F7,O21)+COUNTIF(E7:F7,"*,"&amp;O21&amp;",*")+COUNTIF(H7:I7,O21)+COUNTIF(H7:I7,"*,"&amp;O21&amp;",*")+COUNTIF(K7:L7,O21)+COUNTIF(K7:L7,"*,"&amp;O21&amp;",*")+COUNTIF(N7:O7,O21)+COUNTIF(N7:O7,"*,"&amp;O21&amp;",*")+COUNTIF(B9:C9,O21)+COUNTIF(B9:C9,"*,"&amp;O21&amp;",*")+COUNTIF(E9:F9,O21)+COUNTIF(E9:F9,"*,"&amp;O21&amp;",*")+COUNTIF(H9:I9,O21)+COUNTIF(H9:I9,"*,"&amp;O21&amp;",*")+COUNTIF(K9:L9,O21)+COUNTIF(K9:L9,"*,"&amp;O21&amp;",*")+COUNTIF(N9:O9,O21)+COUNTIF(N9:O9,"*,"&amp;O21&amp;",*")+COUNTIF(B11:C11,O21)+COUNTIF(B11:C11,"*,"&amp;O21&amp;",*")+COUNTIF(E11:F11,O21)+COUNTIF(E11:F11,"*,"&amp;O21&amp;",*")+COUNTIF(H11:I11,O21)+COUNTIF(H11:I11,"*,"&amp;O21&amp;",*")+COUNTIF(K11:L11,O21)+COUNTIF(K11:L11,"*,"&amp;O21&amp;",*")+COUNTIF(N11:O11,O21)+COUNTIF(N11:O11,"*,"&amp;O21&amp;",*")+COUNTIF(B13:C13,O21)+COUNTIF(B13:C13,"*,"&amp;O21&amp;",*")+COUNTIF(E13:F13,O21)+COUNTIF(E13:F13,"*,"&amp;O21&amp;",*")+COUNTIF(H13:I13,O21)+COUNTIF(H13:I13,"*,"&amp;O21&amp;",*")+COUNTIF(K13:L13,O21)+COUNTIF(K13:L13,"*,"&amp;O21&amp;",*")+COUNTIF(N13:O13,O21)+COUNTIF(N13:O13,"*,"&amp;O21&amp;",*")+COUNTIF(B15:C15,O21)+COUNTIF(B15:C15,"*,"&amp;O21&amp;",*")+COUNTIF(E15:F15,O21)+COUNTIF(E15:F15,"*,"&amp;O21&amp;",*")+COUNTIF(H15:I15,O21)+COUNTIF(H15:I15,"*,"&amp;O21&amp;",*")+COUNTIF(K15:L15,O21)+COUNTIF(K15:L15,"*,"&amp;O21&amp;",*")+COUNTIF(N15:O15,O21)+COUNTIF(N15:O15,"*,"&amp;O21&amp;",*")+COUNTIF(B17:C17,O21)+COUNTIF(B17:C17,"*,"&amp;O21&amp;",*")+COUNTIF(E17:F17,O21)+COUNTIF(E17:F17,"*,"&amp;O21&amp;",*")+COUNTIF(H17:I17,O21)+COUNTIF(H17:I17,"*,"&amp;O21&amp;",*")+COUNTIF(K17:L17,O21)+COUNTIF(K17:L17,"*,"&amp;O21&amp;",*")+COUNTIF(N17:O17,O21)+COUNTIF(N17:O17,"*,"&amp;O21&amp;",*"))</f>
        <v/>
      </c>
      <c r="P24" s="22">
        <f>IF(SUM(B24:O24)=0,"",SUM(B24:O24))</f>
        <v/>
      </c>
    </row>
    <row r="25" spans="1:16" ht="13.5" customHeight="1" x14ac:dyDescent="0.2">
      <c r="A25" s="23" t="s">
        <v>52</v>
      </c>
      <c r="B25" s="26"/>
      <c r="C25" s="26"/>
      <c r="D25" s="26"/>
      <c r="E25" s="26"/>
      <c r="F25" s="26"/>
      <c r="G25" s="26"/>
      <c r="H25" s="26"/>
      <c r="I25" s="26"/>
      <c r="J25" s="26"/>
      <c r="K25" s="26"/>
      <c r="L25" s="26"/>
      <c r="M25" s="26"/>
      <c r="N25" s="26"/>
      <c r="O25" s="24"/>
      <c r="P25" s="18">
        <f>IF(SUM(B25:O25)=0,"",SUM(B25:O25))</f>
        <v/>
      </c>
    </row>
  </sheetData>
  <sheetProtection sheet="1" objects="1" scenarios="1"/>
  <mergeCells count="104">
    <mergeCell ref="N19:P19"/>
    <mergeCell ref="A23:A24"/>
    <mergeCell ref="N17:O17"/>
    <mergeCell ref="B18:D18"/>
    <mergeCell ref="E18:G18"/>
    <mergeCell ref="H18:J18"/>
    <mergeCell ref="K18:M18"/>
    <mergeCell ref="N18:P18"/>
    <mergeCell ref="A17:A18"/>
    <mergeCell ref="B17:C17"/>
    <mergeCell ref="E17:F17"/>
    <mergeCell ref="H17:I17"/>
    <mergeCell ref="K17:L17"/>
    <mergeCell ref="B19:D19"/>
    <mergeCell ref="E19:G19"/>
    <mergeCell ref="H19:J19"/>
    <mergeCell ref="K19:M19"/>
    <mergeCell ref="A15:A16"/>
    <mergeCell ref="B15:C15"/>
    <mergeCell ref="E15:F15"/>
    <mergeCell ref="H15:I15"/>
    <mergeCell ref="K15:L15"/>
    <mergeCell ref="N15:O15"/>
    <mergeCell ref="B16:D16"/>
    <mergeCell ref="E16:G16"/>
    <mergeCell ref="H16:J16"/>
    <mergeCell ref="K16:M16"/>
    <mergeCell ref="N16:P16"/>
    <mergeCell ref="A13:A14"/>
    <mergeCell ref="B13:C13"/>
    <mergeCell ref="E13:F13"/>
    <mergeCell ref="H13:I13"/>
    <mergeCell ref="K13:L13"/>
    <mergeCell ref="N13:O13"/>
    <mergeCell ref="B14:D14"/>
    <mergeCell ref="E14:G14"/>
    <mergeCell ref="H14:J14"/>
    <mergeCell ref="K14:M14"/>
    <mergeCell ref="N14:P14"/>
    <mergeCell ref="A11:A12"/>
    <mergeCell ref="B11:C11"/>
    <mergeCell ref="E11:F11"/>
    <mergeCell ref="H11:I11"/>
    <mergeCell ref="K11:L11"/>
    <mergeCell ref="N11:O11"/>
    <mergeCell ref="B12:D12"/>
    <mergeCell ref="E12:G12"/>
    <mergeCell ref="H12:J12"/>
    <mergeCell ref="K12:M12"/>
    <mergeCell ref="N12:P12"/>
    <mergeCell ref="N8:P8"/>
    <mergeCell ref="A9:A10"/>
    <mergeCell ref="B9:C9"/>
    <mergeCell ref="E9:F9"/>
    <mergeCell ref="H9:I9"/>
    <mergeCell ref="K9:L9"/>
    <mergeCell ref="N9:O9"/>
    <mergeCell ref="B10:D10"/>
    <mergeCell ref="E10:G10"/>
    <mergeCell ref="H10:J10"/>
    <mergeCell ref="A7:A8"/>
    <mergeCell ref="B7:C7"/>
    <mergeCell ref="E7:F7"/>
    <mergeCell ref="H7:I7"/>
    <mergeCell ref="K7:L7"/>
    <mergeCell ref="N7:O7"/>
    <mergeCell ref="B8:D8"/>
    <mergeCell ref="E8:G8"/>
    <mergeCell ref="H8:J8"/>
    <mergeCell ref="K8:M8"/>
    <mergeCell ref="K10:M10"/>
    <mergeCell ref="N10:P10"/>
    <mergeCell ref="A5:A6"/>
    <mergeCell ref="B5:C5"/>
    <mergeCell ref="E5:F5"/>
    <mergeCell ref="H5:I5"/>
    <mergeCell ref="K5:L5"/>
    <mergeCell ref="N2:P2"/>
    <mergeCell ref="B3:D3"/>
    <mergeCell ref="E3:G3"/>
    <mergeCell ref="H3:J3"/>
    <mergeCell ref="K3:M3"/>
    <mergeCell ref="N3:P3"/>
    <mergeCell ref="N5:O5"/>
    <mergeCell ref="B6:D6"/>
    <mergeCell ref="E6:G6"/>
    <mergeCell ref="H6:J6"/>
    <mergeCell ref="K6:M6"/>
    <mergeCell ref="N6:P6"/>
    <mergeCell ref="B4:D4"/>
    <mergeCell ref="E4:G4"/>
    <mergeCell ref="H4:J4"/>
    <mergeCell ref="K4:M4"/>
    <mergeCell ref="N4:P4"/>
    <mergeCell ref="A1:G1"/>
    <mergeCell ref="I1:J1"/>
    <mergeCell ref="K1:L1"/>
    <mergeCell ref="M1:N1"/>
    <mergeCell ref="O1:P1"/>
    <mergeCell ref="A2:A3"/>
    <mergeCell ref="B2:D2"/>
    <mergeCell ref="E2:G2"/>
    <mergeCell ref="H2:J2"/>
    <mergeCell ref="K2:M2"/>
  </mergeCells>
  <phoneticPr fontId="5"/>
  <dataValidations count="1">
    <dataValidation type="list" allowBlank="1" showInputMessage="1" sqref="D5 P17 M17 J17 G17 D17 P15 M15 J15 G15 D15 P13 M13 J13 G13 D13 P11 M11 J11 G11 D11 P9 M9 J9 G9 D9 P7 M7 J7 G7 D7 P5 M5 J5 G5" xr:uid="{4FFF27DA-250E-4AD6-8C2E-138ECC9AF83C}">
      <formula1>"×,月1,月2,月3,月4,月5,月6,月7,火1,火2,火3,火4,火5,火6,火7,水1,水2,水3,水4,水5,水6,水7,木1,木2,木3,木4,木5,木6,木7,金1,金2,金3,金4,金5,金6,金7"</formula1>
    </dataValidation>
  </dataValidations>
  <printOptions horizontalCentered="1"/>
  <pageMargins left="0.78740157480314965" right="0.78740157480314965" top="0.78740157480314965" bottom="0.78740157480314965" header="0" footer="0"/>
  <pageSetup paperSize="9" scale="93"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tn_0">
              <controlPr defaultSize="0" print="0" autoFill="0" autoPict="0" macro="[0]!ボタン_新しい週">
                <anchor moveWithCells="1" sizeWithCells="1">
                  <from>
                    <xdr:col>17</xdr:col>
                    <xdr:colOff>60960</xdr:colOff>
                    <xdr:row>3</xdr:row>
                    <xdr:rowOff>30480</xdr:rowOff>
                  </from>
                  <to>
                    <xdr:col>18</xdr:col>
                    <xdr:colOff>533400</xdr:colOff>
                    <xdr:row>3</xdr:row>
                    <xdr:rowOff>335280</xdr:rowOff>
                  </to>
                </anchor>
              </controlPr>
            </control>
          </mc:Choice>
        </mc:AlternateContent>
        <mc:AlternateContent xmlns:mc="http://schemas.openxmlformats.org/markup-compatibility/2006">
          <mc:Choice Requires="x14">
            <control shapeId="14338" r:id="rId5" name="Btn_1">
              <controlPr defaultSize="0" print="0" autoFill="0" autoPict="0" macro="[0]!ボタン_時間割展開">
                <anchor moveWithCells="1" sizeWithCells="1">
                  <from>
                    <xdr:col>17</xdr:col>
                    <xdr:colOff>60960</xdr:colOff>
                    <xdr:row>3</xdr:row>
                    <xdr:rowOff>441960</xdr:rowOff>
                  </from>
                  <to>
                    <xdr:col>18</xdr:col>
                    <xdr:colOff>533400</xdr:colOff>
                    <xdr:row>4</xdr:row>
                    <xdr:rowOff>45720</xdr:rowOff>
                  </to>
                </anchor>
              </controlPr>
            </control>
          </mc:Choice>
        </mc:AlternateContent>
        <mc:AlternateContent xmlns:mc="http://schemas.openxmlformats.org/markup-compatibility/2006">
          <mc:Choice Requires="x14">
            <control shapeId="14339" r:id="rId6" name="Btn_2">
              <controlPr defaultSize="0" print="0" autoFill="0" autoPict="0" macro="[0]!ボタン_累計更新">
                <anchor moveWithCells="1" sizeWithCells="1">
                  <from>
                    <xdr:col>17</xdr:col>
                    <xdr:colOff>60960</xdr:colOff>
                    <xdr:row>4</xdr:row>
                    <xdr:rowOff>144780</xdr:rowOff>
                  </from>
                  <to>
                    <xdr:col>18</xdr:col>
                    <xdr:colOff>533400</xdr:colOff>
                    <xdr:row>5</xdr:row>
                    <xdr:rowOff>220980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xr:uid="{C8E1F8E4-474F-4699-96FA-EE4759A211CF}">
          <x14:formula1>
            <xm:f>基本設定!$B$6:$B$20</xm:f>
          </x14:formula1>
          <xm:sqref>B5 N19 K19 H19 E19 B19 N17 K17 H17 E17 B17 N15 K15 H15 E15 B15 N13 K13 H13 E13 B13 N11 K11 H11 E11 B11 N9 K9 H9 E9 B9 N7 K7 H7 E7 B7 N5 K5 H5 E5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E84D9-891F-4F71-BA96-6314BDF8E36E}">
  <sheetPr codeName="Sheet11">
    <tabColor rgb="FFC0392B"/>
    <pageSetUpPr fitToPage="1"/>
  </sheetPr>
  <dimension ref="A1:P25"/>
  <sheetViews>
    <sheetView topLeftCell="B1" workbookViewId="0">
      <selection activeCell="N8" sqref="N8:P8"/>
    </sheetView>
  </sheetViews>
  <sheetFormatPr defaultColWidth="8.77734375" defaultRowHeight="13.2" x14ac:dyDescent="0.2"/>
  <cols>
    <col min="1" max="1" width="5.44140625" customWidth="1"/>
    <col min="2" max="16" width="5.77734375" customWidth="1"/>
  </cols>
  <sheetData>
    <row r="1" spans="1:16" ht="50.1" customHeight="1" x14ac:dyDescent="0.2">
      <c r="A1" s="51" t="s">
        <v>34</v>
      </c>
      <c r="B1" s="52"/>
      <c r="C1" s="52"/>
      <c r="D1" s="52"/>
      <c r="E1" s="52"/>
      <c r="F1" s="52"/>
      <c r="G1" s="52"/>
      <c r="H1" s="8" t="s">
        <v>35</v>
      </c>
      <c r="I1" s="53" t="s">
        <v>36</v>
      </c>
      <c r="J1" s="54"/>
      <c r="K1" s="53" t="s">
        <v>37</v>
      </c>
      <c r="L1" s="54"/>
      <c r="M1" s="53" t="s">
        <v>38</v>
      </c>
      <c r="N1" s="54"/>
      <c r="O1" s="53" t="s">
        <v>39</v>
      </c>
      <c r="P1" s="54"/>
    </row>
    <row r="2" spans="1:16" ht="15.6" customHeight="1" x14ac:dyDescent="0.2">
      <c r="A2" s="55" t="s">
        <v>40</v>
      </c>
      <c r="B2" s="57" t="s">
        <v>29</v>
      </c>
      <c r="C2" s="57"/>
      <c r="D2" s="57"/>
      <c r="E2" s="59" t="s">
        <v>30</v>
      </c>
      <c r="F2" s="59"/>
      <c r="G2" s="59"/>
      <c r="H2" s="45" t="s">
        <v>31</v>
      </c>
      <c r="I2" s="45"/>
      <c r="J2" s="45"/>
      <c r="K2" s="47" t="s">
        <v>32</v>
      </c>
      <c r="L2" s="47"/>
      <c r="M2" s="47"/>
      <c r="N2" s="49" t="s">
        <v>33</v>
      </c>
      <c r="O2" s="49"/>
      <c r="P2" s="49"/>
    </row>
    <row r="3" spans="1:16" ht="15" customHeight="1" x14ac:dyDescent="0.2">
      <c r="A3" s="56"/>
      <c r="B3" s="58" t="s">
        <v>41</v>
      </c>
      <c r="C3" s="58"/>
      <c r="D3" s="58"/>
      <c r="E3" s="60" t="s">
        <v>42</v>
      </c>
      <c r="F3" s="60"/>
      <c r="G3" s="60"/>
      <c r="H3" s="46" t="s">
        <v>43</v>
      </c>
      <c r="I3" s="46"/>
      <c r="J3" s="46"/>
      <c r="K3" s="48" t="s">
        <v>44</v>
      </c>
      <c r="L3" s="48"/>
      <c r="M3" s="48"/>
      <c r="N3" s="50" t="s">
        <v>45</v>
      </c>
      <c r="O3" s="50"/>
      <c r="P3" s="50"/>
    </row>
    <row r="4" spans="1:16" ht="54.9" customHeight="1" x14ac:dyDescent="0.2">
      <c r="A4" s="9" t="s">
        <v>46</v>
      </c>
      <c r="B4" s="40"/>
      <c r="C4" s="40"/>
      <c r="D4" s="40"/>
      <c r="E4" s="41"/>
      <c r="F4" s="41"/>
      <c r="G4" s="41"/>
      <c r="H4" s="42"/>
      <c r="I4" s="42"/>
      <c r="J4" s="42"/>
      <c r="K4" s="43"/>
      <c r="L4" s="43"/>
      <c r="M4" s="43"/>
      <c r="N4" s="44"/>
      <c r="O4" s="44"/>
      <c r="P4" s="44"/>
    </row>
    <row r="5" spans="1:16" ht="18" customHeight="1" x14ac:dyDescent="0.2">
      <c r="A5" s="39">
        <v>1</v>
      </c>
      <c r="B5" s="37"/>
      <c r="C5" s="37"/>
      <c r="D5" s="25"/>
      <c r="E5" s="37"/>
      <c r="F5" s="37"/>
      <c r="G5" s="25"/>
      <c r="H5" s="37"/>
      <c r="I5" s="37"/>
      <c r="J5" s="25"/>
      <c r="K5" s="37"/>
      <c r="L5" s="37"/>
      <c r="M5" s="25"/>
      <c r="N5" s="37"/>
      <c r="O5" s="37"/>
      <c r="P5" s="25"/>
    </row>
    <row r="6" spans="1:16" ht="62.1" customHeight="1" x14ac:dyDescent="0.2">
      <c r="A6" s="39"/>
      <c r="B6" s="38"/>
      <c r="C6" s="38"/>
      <c r="D6" s="38"/>
      <c r="E6" s="38"/>
      <c r="F6" s="38"/>
      <c r="G6" s="38"/>
      <c r="H6" s="38"/>
      <c r="I6" s="38"/>
      <c r="J6" s="38"/>
      <c r="K6" s="38"/>
      <c r="L6" s="38"/>
      <c r="M6" s="38"/>
      <c r="N6" s="38"/>
      <c r="O6" s="38"/>
      <c r="P6" s="38"/>
    </row>
    <row r="7" spans="1:16" ht="18" customHeight="1" x14ac:dyDescent="0.2">
      <c r="A7" s="39">
        <v>2</v>
      </c>
      <c r="B7" s="37"/>
      <c r="C7" s="37"/>
      <c r="D7" s="25"/>
      <c r="E7" s="37"/>
      <c r="F7" s="37"/>
      <c r="G7" s="25"/>
      <c r="H7" s="37"/>
      <c r="I7" s="37"/>
      <c r="J7" s="25"/>
      <c r="K7" s="37"/>
      <c r="L7" s="37"/>
      <c r="M7" s="25"/>
      <c r="N7" s="37"/>
      <c r="O7" s="37"/>
      <c r="P7" s="25"/>
    </row>
    <row r="8" spans="1:16" ht="62.1" customHeight="1" x14ac:dyDescent="0.2">
      <c r="A8" s="39"/>
      <c r="B8" s="38"/>
      <c r="C8" s="38"/>
      <c r="D8" s="38"/>
      <c r="E8" s="38"/>
      <c r="F8" s="38"/>
      <c r="G8" s="38"/>
      <c r="H8" s="38"/>
      <c r="I8" s="38"/>
      <c r="J8" s="38"/>
      <c r="K8" s="38"/>
      <c r="L8" s="38"/>
      <c r="M8" s="38"/>
      <c r="N8" s="38"/>
      <c r="O8" s="38"/>
      <c r="P8" s="38"/>
    </row>
    <row r="9" spans="1:16" ht="18" customHeight="1" x14ac:dyDescent="0.2">
      <c r="A9" s="39">
        <v>3</v>
      </c>
      <c r="B9" s="37"/>
      <c r="C9" s="37"/>
      <c r="D9" s="25"/>
      <c r="E9" s="37"/>
      <c r="F9" s="37"/>
      <c r="G9" s="25"/>
      <c r="H9" s="37"/>
      <c r="I9" s="37"/>
      <c r="J9" s="25"/>
      <c r="K9" s="37"/>
      <c r="L9" s="37"/>
      <c r="M9" s="25"/>
      <c r="N9" s="37"/>
      <c r="O9" s="37"/>
      <c r="P9" s="25"/>
    </row>
    <row r="10" spans="1:16" ht="62.1" customHeight="1" x14ac:dyDescent="0.2">
      <c r="A10" s="39"/>
      <c r="B10" s="38"/>
      <c r="C10" s="38"/>
      <c r="D10" s="38"/>
      <c r="E10" s="38"/>
      <c r="F10" s="38"/>
      <c r="G10" s="38"/>
      <c r="H10" s="38"/>
      <c r="I10" s="38"/>
      <c r="J10" s="38"/>
      <c r="K10" s="38"/>
      <c r="L10" s="38"/>
      <c r="M10" s="38"/>
      <c r="N10" s="38"/>
      <c r="O10" s="38"/>
      <c r="P10" s="38"/>
    </row>
    <row r="11" spans="1:16" ht="18" customHeight="1" x14ac:dyDescent="0.2">
      <c r="A11" s="39">
        <v>4</v>
      </c>
      <c r="B11" s="37"/>
      <c r="C11" s="37"/>
      <c r="D11" s="25"/>
      <c r="E11" s="37"/>
      <c r="F11" s="37"/>
      <c r="G11" s="25"/>
      <c r="H11" s="37"/>
      <c r="I11" s="37"/>
      <c r="J11" s="25"/>
      <c r="K11" s="37"/>
      <c r="L11" s="37"/>
      <c r="M11" s="25"/>
      <c r="N11" s="37"/>
      <c r="O11" s="37"/>
      <c r="P11" s="25"/>
    </row>
    <row r="12" spans="1:16" ht="62.1" customHeight="1" x14ac:dyDescent="0.2">
      <c r="A12" s="39"/>
      <c r="B12" s="38"/>
      <c r="C12" s="38"/>
      <c r="D12" s="38"/>
      <c r="E12" s="38"/>
      <c r="F12" s="38"/>
      <c r="G12" s="38"/>
      <c r="H12" s="38"/>
      <c r="I12" s="38"/>
      <c r="J12" s="38"/>
      <c r="K12" s="38"/>
      <c r="L12" s="38"/>
      <c r="M12" s="38"/>
      <c r="N12" s="38"/>
      <c r="O12" s="38"/>
      <c r="P12" s="38"/>
    </row>
    <row r="13" spans="1:16" ht="18" customHeight="1" x14ac:dyDescent="0.2">
      <c r="A13" s="39">
        <v>5</v>
      </c>
      <c r="B13" s="37"/>
      <c r="C13" s="37"/>
      <c r="D13" s="25"/>
      <c r="E13" s="37"/>
      <c r="F13" s="37"/>
      <c r="G13" s="25"/>
      <c r="H13" s="37"/>
      <c r="I13" s="37"/>
      <c r="J13" s="25"/>
      <c r="K13" s="37"/>
      <c r="L13" s="37"/>
      <c r="M13" s="25"/>
      <c r="N13" s="37"/>
      <c r="O13" s="37"/>
      <c r="P13" s="25"/>
    </row>
    <row r="14" spans="1:16" ht="62.1" customHeight="1" x14ac:dyDescent="0.2">
      <c r="A14" s="39"/>
      <c r="B14" s="38"/>
      <c r="C14" s="38"/>
      <c r="D14" s="38"/>
      <c r="E14" s="38"/>
      <c r="F14" s="38"/>
      <c r="G14" s="38"/>
      <c r="H14" s="38"/>
      <c r="I14" s="38"/>
      <c r="J14" s="38"/>
      <c r="K14" s="38"/>
      <c r="L14" s="38"/>
      <c r="M14" s="38"/>
      <c r="N14" s="38"/>
      <c r="O14" s="38"/>
      <c r="P14" s="38"/>
    </row>
    <row r="15" spans="1:16" ht="18" customHeight="1" x14ac:dyDescent="0.2">
      <c r="A15" s="39">
        <v>6</v>
      </c>
      <c r="B15" s="37"/>
      <c r="C15" s="37"/>
      <c r="D15" s="25"/>
      <c r="E15" s="37"/>
      <c r="F15" s="37"/>
      <c r="G15" s="25"/>
      <c r="H15" s="37"/>
      <c r="I15" s="37"/>
      <c r="J15" s="25"/>
      <c r="K15" s="37"/>
      <c r="L15" s="37"/>
      <c r="M15" s="25"/>
      <c r="N15" s="37"/>
      <c r="O15" s="37"/>
      <c r="P15" s="25"/>
    </row>
    <row r="16" spans="1:16" ht="62.1" customHeight="1" x14ac:dyDescent="0.2">
      <c r="A16" s="39"/>
      <c r="B16" s="38"/>
      <c r="C16" s="38"/>
      <c r="D16" s="38"/>
      <c r="E16" s="38"/>
      <c r="F16" s="38"/>
      <c r="G16" s="38"/>
      <c r="H16" s="38"/>
      <c r="I16" s="38"/>
      <c r="J16" s="38"/>
      <c r="K16" s="38"/>
      <c r="L16" s="38"/>
      <c r="M16" s="38"/>
      <c r="N16" s="38"/>
      <c r="O16" s="38"/>
      <c r="P16" s="38"/>
    </row>
    <row r="17" spans="1:16" ht="18" customHeight="1" x14ac:dyDescent="0.2">
      <c r="A17" s="39">
        <v>7</v>
      </c>
      <c r="B17" s="37"/>
      <c r="C17" s="37"/>
      <c r="D17" s="25"/>
      <c r="E17" s="37"/>
      <c r="F17" s="37"/>
      <c r="G17" s="25"/>
      <c r="H17" s="37"/>
      <c r="I17" s="37"/>
      <c r="J17" s="25"/>
      <c r="K17" s="37"/>
      <c r="L17" s="37"/>
      <c r="M17" s="25"/>
      <c r="N17" s="37"/>
      <c r="O17" s="37"/>
      <c r="P17" s="25"/>
    </row>
    <row r="18" spans="1:16" ht="62.1" customHeight="1" x14ac:dyDescent="0.2">
      <c r="A18" s="39"/>
      <c r="B18" s="38"/>
      <c r="C18" s="38"/>
      <c r="D18" s="38"/>
      <c r="E18" s="38"/>
      <c r="F18" s="38"/>
      <c r="G18" s="38"/>
      <c r="H18" s="38"/>
      <c r="I18" s="38"/>
      <c r="J18" s="38"/>
      <c r="K18" s="38"/>
      <c r="L18" s="38"/>
      <c r="M18" s="38"/>
      <c r="N18" s="38"/>
      <c r="O18" s="38"/>
      <c r="P18" s="38"/>
    </row>
    <row r="19" spans="1:16" ht="54.9" customHeight="1" x14ac:dyDescent="0.2">
      <c r="A19" s="10" t="s">
        <v>47</v>
      </c>
      <c r="B19" s="34"/>
      <c r="C19" s="34"/>
      <c r="D19" s="34"/>
      <c r="E19" s="34"/>
      <c r="F19" s="34"/>
      <c r="G19" s="34"/>
      <c r="H19" s="34"/>
      <c r="I19" s="34"/>
      <c r="J19" s="34"/>
      <c r="K19" s="34"/>
      <c r="L19" s="34"/>
      <c r="M19" s="34"/>
      <c r="N19" s="34"/>
      <c r="O19" s="34"/>
      <c r="P19" s="34"/>
    </row>
    <row r="20" spans="1:16" hidden="1" x14ac:dyDescent="0.2">
      <c r="A20" s="11"/>
      <c r="B20" s="11"/>
      <c r="C20" s="11"/>
      <c r="D20" s="11"/>
      <c r="E20" s="11"/>
      <c r="F20" s="11"/>
      <c r="G20" s="11"/>
      <c r="H20" s="11"/>
      <c r="I20" s="11"/>
      <c r="J20" s="11"/>
      <c r="K20" s="11"/>
      <c r="L20" s="11"/>
      <c r="M20" s="11"/>
      <c r="N20" s="11"/>
      <c r="O20" s="11"/>
      <c r="P20" s="11"/>
    </row>
    <row r="21" spans="1:16" ht="13.5" customHeight="1" x14ac:dyDescent="0.2">
      <c r="A21" s="12" t="s">
        <v>48</v>
      </c>
      <c r="B21" s="12">
        <f>IF(基本設定!B6="","",基本設定!B6)</f>
      </c>
      <c r="C21" s="12">
        <f>IF(基本設定!B7="","",基本設定!B7)</f>
      </c>
      <c r="D21" s="12">
        <f>IF(基本設定!B8="","",基本設定!B8)</f>
      </c>
      <c r="E21" s="12">
        <f>IF(基本設定!B9="","",基本設定!B9)</f>
      </c>
      <c r="F21" s="12">
        <f>IF(基本設定!B10="","",基本設定!B10)</f>
      </c>
      <c r="G21" s="12">
        <f>IF(基本設定!B11="","",基本設定!B11)</f>
      </c>
      <c r="H21" s="12"/>
      <c r="I21" s="12"/>
      <c r="J21" s="12"/>
      <c r="K21" s="12"/>
      <c r="L21" s="12"/>
      <c r="M21" s="13" t="s">
        <v>53</v>
      </c>
      <c r="N21" s="12" t="s">
        <v>20</v>
      </c>
      <c r="O21" s="12" t="s">
        <v>22</v>
      </c>
      <c r="P21" s="14" t="s">
        <v>49</v>
      </c>
    </row>
    <row r="22" spans="1:16" ht="13.5" customHeight="1" x14ac:dyDescent="0.2">
      <c r="A22" s="15" t="s">
        <v>50</v>
      </c>
      <c r="B22" s="16">
        <f>IF(B21="","",IFERROR(VALUE(VLOOKUP(B21,基本設定!$A$23:$B$35,2,FALSE())),""))</f>
      </c>
      <c r="C22" s="16">
        <f>IF(C21="","",IFERROR(VALUE(VLOOKUP(C21,基本設定!$A$23:$B$35,2,FALSE())),""))</f>
      </c>
      <c r="D22" s="16">
        <f>IF(D21="","",IFERROR(VALUE(VLOOKUP(D21,基本設定!$A$23:$B$35,2,FALSE())),""))</f>
      </c>
      <c r="E22" s="16">
        <f>IF(E21="","",IFERROR(VALUE(VLOOKUP(E21,基本設定!$A$23:$B$35,2,FALSE())),""))</f>
      </c>
      <c r="F22" s="16">
        <f>IF(F21="","",IFERROR(VALUE(VLOOKUP(F21,基本設定!$A$23:$B$35,2,FALSE())),""))</f>
      </c>
      <c r="G22" s="16">
        <f>IF(G21="","",IFERROR(VALUE(VLOOKUP(G21,基本設定!$A$23:$B$35,2,FALSE())),""))</f>
      </c>
      <c r="H22" s="17"/>
      <c r="I22" s="17"/>
      <c r="J22" s="17"/>
      <c r="K22" s="17"/>
      <c r="L22" s="17"/>
      <c r="M22" s="17">
        <v>1</v>
      </c>
      <c r="N22" s="17">
        <f>IF(N21="","",IFERROR(VALUE(VLOOKUP(N21,基本設定!$A$23:$B$35,2,FALSE())),""))</f>
      </c>
      <c r="O22" s="17">
        <f>IF(O21="","",IFERROR(VALUE(VLOOKUP(O21,基本設定!$A$23:$B$35,2,FALSE())),""))</f>
      </c>
      <c r="P22" s="18">
        <f>IF(SUM(B22:O22)=0,"",SUM(B22:O22))</f>
      </c>
    </row>
    <row r="23" spans="1:16" ht="13.5" customHeight="1" x14ac:dyDescent="0.2">
      <c r="A23" s="35" t="s">
        <v>51</v>
      </c>
      <c r="B23" s="19">
        <f>IF(B21="","",IF(B24="","",B24-(SUMPRODUCT((B5:C5=B21)*(D5="×"))+SUMPRODUCT((E5:F5=B21)*(G5="×"))+SUMPRODUCT((H5:I5=B21)*(J5="×"))+SUMPRODUCT((K5:L5=B21)*(M5="×"))+SUMPRODUCT((N5:O5=B21)*(P5="×"))+SUMPRODUCT((B7:C7=B21)*(D7="×"))+SUMPRODUCT((E7:F7=B21)*(G7="×"))+SUMPRODUCT((H7:I7=B21)*(J7="×"))+SUMPRODUCT((K7:L7=B21)*(M7="×"))+SUMPRODUCT((N7:O7=B21)*(P7="×"))+SUMPRODUCT((B9:C9=B21)*(D9="×"))+SUMPRODUCT((E9:F9=B21)*(G9="×"))+SUMPRODUCT((H9:I9=B21)*(J9="×"))+SUMPRODUCT((K9:L9=B21)*(M9="×"))+SUMPRODUCT((N9:O9=B21)*(P9="×"))+SUMPRODUCT((B11:C11=B21)*(D11="×"))+SUMPRODUCT((E11:F11=B21)*(G11="×"))+SUMPRODUCT((H11:I11=B21)*(J11="×"))+SUMPRODUCT((K11:L11=B21)*(M11="×"))+SUMPRODUCT((N11:O11=B21)*(P11="×"))+SUMPRODUCT((B13:C13=B21)*(D13="×"))+SUMPRODUCT((E13:F13=B21)*(G13="×"))+SUMPRODUCT((H13:I13=B21)*(J13="×"))+SUMPRODUCT((K13:L13=B21)*(M13="×"))+SUMPRODUCT((N13:O13=B21)*(P13="×"))+SUMPRODUCT((B15:C15=B21)*(D15="×"))+SUMPRODUCT((E15:F15=B21)*(G15="×"))+SUMPRODUCT((H15:I15=B21)*(J15="×"))+SUMPRODUCT((K15:L15=B21)*(M15="×"))+SUMPRODUCT((N15:O15=B21)*(P15="×"))+SUMPRODUCT((B17:C17=B21)*(D17="×"))+SUMPRODUCT((E17:F17=B21)*(G17="×"))+SUMPRODUCT((H17:I17=B21)*(J17="×"))+SUMPRODUCT((K17:L17=B21)*(M17="×"))+SUMPRODUCT((N17:O17=B21)*(P17="×")))))</f>
        <v/>
      </c>
      <c r="C23" s="19">
        <f>IF(C21="","",IF(C24="","",C24-(SUMPRODUCT((B5:C5=C21)*(D5="×"))+SUMPRODUCT((E5:F5=C21)*(G5="×"))+SUMPRODUCT((H5:I5=C21)*(J5="×"))+SUMPRODUCT((K5:L5=C21)*(M5="×"))+SUMPRODUCT((N5:O5=C21)*(P5="×"))+SUMPRODUCT((B7:C7=C21)*(D7="×"))+SUMPRODUCT((E7:F7=C21)*(G7="×"))+SUMPRODUCT((H7:I7=C21)*(J7="×"))+SUMPRODUCT((K7:L7=C21)*(M7="×"))+SUMPRODUCT((N7:O7=C21)*(P7="×"))+SUMPRODUCT((B9:C9=C21)*(D9="×"))+SUMPRODUCT((E9:F9=C21)*(G9="×"))+SUMPRODUCT((H9:I9=C21)*(J9="×"))+SUMPRODUCT((K9:L9=C21)*(M9="×"))+SUMPRODUCT((N9:O9=C21)*(P9="×"))+SUMPRODUCT((B11:C11=C21)*(D11="×"))+SUMPRODUCT((E11:F11=C21)*(G11="×"))+SUMPRODUCT((H11:I11=C21)*(J11="×"))+SUMPRODUCT((K11:L11=C21)*(M11="×"))+SUMPRODUCT((N11:O11=C21)*(P11="×"))+SUMPRODUCT((B13:C13=C21)*(D13="×"))+SUMPRODUCT((E13:F13=C21)*(G13="×"))+SUMPRODUCT((H13:I13=C21)*(J13="×"))+SUMPRODUCT((K13:L13=C21)*(M13="×"))+SUMPRODUCT((N13:O13=C21)*(P13="×"))+SUMPRODUCT((B15:C15=C21)*(D15="×"))+SUMPRODUCT((E15:F15=C21)*(G15="×"))+SUMPRODUCT((H15:I15=C21)*(J15="×"))+SUMPRODUCT((K15:L15=C21)*(M15="×"))+SUMPRODUCT((N15:O15=C21)*(P15="×"))+SUMPRODUCT((B17:C17=C21)*(D17="×"))+SUMPRODUCT((E17:F17=C21)*(G17="×"))+SUMPRODUCT((H17:I17=C21)*(J17="×"))+SUMPRODUCT((K17:L17=C21)*(M17="×"))+SUMPRODUCT((N17:O17=C21)*(P17="×")))))</f>
        <v/>
      </c>
      <c r="D23" s="19">
        <f>IF(D21="","",IF(D24="","",D24-(SUMPRODUCT((B5:C5=D21)*(D5="×"))+SUMPRODUCT((E5:F5=D21)*(G5="×"))+SUMPRODUCT((H5:I5=D21)*(J5="×"))+SUMPRODUCT((K5:L5=D21)*(M5="×"))+SUMPRODUCT((N5:O5=D21)*(P5="×"))+SUMPRODUCT((B7:C7=D21)*(D7="×"))+SUMPRODUCT((E7:F7=D21)*(G7="×"))+SUMPRODUCT((H7:I7=D21)*(J7="×"))+SUMPRODUCT((K7:L7=D21)*(M7="×"))+SUMPRODUCT((N7:O7=D21)*(P7="×"))+SUMPRODUCT((B9:C9=D21)*(D9="×"))+SUMPRODUCT((E9:F9=D21)*(G9="×"))+SUMPRODUCT((H9:I9=D21)*(J9="×"))+SUMPRODUCT((K9:L9=D21)*(M9="×"))+SUMPRODUCT((N9:O9=D21)*(P9="×"))+SUMPRODUCT((B11:C11=D21)*(D11="×"))+SUMPRODUCT((E11:F11=D21)*(G11="×"))+SUMPRODUCT((H11:I11=D21)*(J11="×"))+SUMPRODUCT((K11:L11=D21)*(M11="×"))+SUMPRODUCT((N11:O11=D21)*(P11="×"))+SUMPRODUCT((B13:C13=D21)*(D13="×"))+SUMPRODUCT((E13:F13=D21)*(G13="×"))+SUMPRODUCT((H13:I13=D21)*(J13="×"))+SUMPRODUCT((K13:L13=D21)*(M13="×"))+SUMPRODUCT((N13:O13=D21)*(P13="×"))+SUMPRODUCT((B15:C15=D21)*(D15="×"))+SUMPRODUCT((E15:F15=D21)*(G15="×"))+SUMPRODUCT((H15:I15=D21)*(J15="×"))+SUMPRODUCT((K15:L15=D21)*(M15="×"))+SUMPRODUCT((N15:O15=D21)*(P15="×"))+SUMPRODUCT((B17:C17=D21)*(D17="×"))+SUMPRODUCT((E17:F17=D21)*(G17="×"))+SUMPRODUCT((H17:I17=D21)*(J17="×"))+SUMPRODUCT((K17:L17=D21)*(M17="×"))+SUMPRODUCT((N17:O17=D21)*(P17="×")))))</f>
        <v/>
      </c>
      <c r="E23" s="19">
        <f>IF(E21="","",IF(E24="","",E24-(SUMPRODUCT((B5:C5=E21)*(D5="×"))+SUMPRODUCT((E5:F5=E21)*(G5="×"))+SUMPRODUCT((H5:I5=E21)*(J5="×"))+SUMPRODUCT((K5:L5=E21)*(M5="×"))+SUMPRODUCT((N5:O5=E21)*(P5="×"))+SUMPRODUCT((B7:C7=E21)*(D7="×"))+SUMPRODUCT((E7:F7=E21)*(G7="×"))+SUMPRODUCT((H7:I7=E21)*(J7="×"))+SUMPRODUCT((K7:L7=E21)*(M7="×"))+SUMPRODUCT((N7:O7=E21)*(P7="×"))+SUMPRODUCT((B9:C9=E21)*(D9="×"))+SUMPRODUCT((E9:F9=E21)*(G9="×"))+SUMPRODUCT((H9:I9=E21)*(J9="×"))+SUMPRODUCT((K9:L9=E21)*(M9="×"))+SUMPRODUCT((N9:O9=E21)*(P9="×"))+SUMPRODUCT((B11:C11=E21)*(D11="×"))+SUMPRODUCT((E11:F11=E21)*(G11="×"))+SUMPRODUCT((H11:I11=E21)*(J11="×"))+SUMPRODUCT((K11:L11=E21)*(M11="×"))+SUMPRODUCT((N11:O11=E21)*(P11="×"))+SUMPRODUCT((B13:C13=E21)*(D13="×"))+SUMPRODUCT((E13:F13=E21)*(G13="×"))+SUMPRODUCT((H13:I13=E21)*(J13="×"))+SUMPRODUCT((K13:L13=E21)*(M13="×"))+SUMPRODUCT((N13:O13=E21)*(P13="×"))+SUMPRODUCT((B15:C15=E21)*(D15="×"))+SUMPRODUCT((E15:F15=E21)*(G15="×"))+SUMPRODUCT((H15:I15=E21)*(J15="×"))+SUMPRODUCT((K15:L15=E21)*(M15="×"))+SUMPRODUCT((N15:O15=E21)*(P15="×"))+SUMPRODUCT((B17:C17=E21)*(D17="×"))+SUMPRODUCT((E17:F17=E21)*(G17="×"))+SUMPRODUCT((H17:I17=E21)*(J17="×"))+SUMPRODUCT((K17:L17=E21)*(M17="×"))+SUMPRODUCT((N17:O17=E21)*(P17="×")))))</f>
        <v/>
      </c>
      <c r="F23" s="19">
        <f>IF(F21="","",IF(F24="","",F24-(SUMPRODUCT((B5:C5=F21)*(D5="×"))+SUMPRODUCT((E5:F5=F21)*(G5="×"))+SUMPRODUCT((H5:I5=F21)*(J5="×"))+SUMPRODUCT((K5:L5=F21)*(M5="×"))+SUMPRODUCT((N5:O5=F21)*(P5="×"))+SUMPRODUCT((B7:C7=F21)*(D7="×"))+SUMPRODUCT((E7:F7=F21)*(G7="×"))+SUMPRODUCT((H7:I7=F21)*(J7="×"))+SUMPRODUCT((K7:L7=F21)*(M7="×"))+SUMPRODUCT((N7:O7=F21)*(P7="×"))+SUMPRODUCT((B9:C9=F21)*(D9="×"))+SUMPRODUCT((E9:F9=F21)*(G9="×"))+SUMPRODUCT((H9:I9=F21)*(J9="×"))+SUMPRODUCT((K9:L9=F21)*(M9="×"))+SUMPRODUCT((N9:O9=F21)*(P9="×"))+SUMPRODUCT((B11:C11=F21)*(D11="×"))+SUMPRODUCT((E11:F11=F21)*(G11="×"))+SUMPRODUCT((H11:I11=F21)*(J11="×"))+SUMPRODUCT((K11:L11=F21)*(M11="×"))+SUMPRODUCT((N11:O11=F21)*(P11="×"))+SUMPRODUCT((B13:C13=F21)*(D13="×"))+SUMPRODUCT((E13:F13=F21)*(G13="×"))+SUMPRODUCT((H13:I13=F21)*(J13="×"))+SUMPRODUCT((K13:L13=F21)*(M13="×"))+SUMPRODUCT((N13:O13=F21)*(P13="×"))+SUMPRODUCT((B15:C15=F21)*(D15="×"))+SUMPRODUCT((E15:F15=F21)*(G15="×"))+SUMPRODUCT((H15:I15=F21)*(J15="×"))+SUMPRODUCT((K15:L15=F21)*(M15="×"))+SUMPRODUCT((N15:O15=F21)*(P15="×"))+SUMPRODUCT((B17:C17=F21)*(D17="×"))+SUMPRODUCT((E17:F17=F21)*(G17="×"))+SUMPRODUCT((H17:I17=F21)*(J17="×"))+SUMPRODUCT((K17:L17=F21)*(M17="×"))+SUMPRODUCT((N17:O17=F21)*(P17="×")))))</f>
        <v/>
      </c>
      <c r="G23" s="19">
        <f>IF(G21="","",IF(G24="","",G24-(SUMPRODUCT((B5:C5=G21)*(D5="×"))+SUMPRODUCT((E5:F5=G21)*(G5="×"))+SUMPRODUCT((H5:I5=G21)*(J5="×"))+SUMPRODUCT((K5:L5=G21)*(M5="×"))+SUMPRODUCT((N5:O5=G21)*(P5="×"))+SUMPRODUCT((B7:C7=G21)*(D7="×"))+SUMPRODUCT((E7:F7=G21)*(G7="×"))+SUMPRODUCT((H7:I7=G21)*(J7="×"))+SUMPRODUCT((K7:L7=G21)*(M7="×"))+SUMPRODUCT((N7:O7=G21)*(P7="×"))+SUMPRODUCT((B9:C9=G21)*(D9="×"))+SUMPRODUCT((E9:F9=G21)*(G9="×"))+SUMPRODUCT((H9:I9=G21)*(J9="×"))+SUMPRODUCT((K9:L9=G21)*(M9="×"))+SUMPRODUCT((N9:O9=G21)*(P9="×"))+SUMPRODUCT((B11:C11=G21)*(D11="×"))+SUMPRODUCT((E11:F11=G21)*(G11="×"))+SUMPRODUCT((H11:I11=G21)*(J11="×"))+SUMPRODUCT((K11:L11=G21)*(M11="×"))+SUMPRODUCT((N11:O11=G21)*(P11="×"))+SUMPRODUCT((B13:C13=G21)*(D13="×"))+SUMPRODUCT((E13:F13=G21)*(G13="×"))+SUMPRODUCT((H13:I13=G21)*(J13="×"))+SUMPRODUCT((K13:L13=G21)*(M13="×"))+SUMPRODUCT((N13:O13=G21)*(P13="×"))+SUMPRODUCT((B15:C15=G21)*(D15="×"))+SUMPRODUCT((E15:F15=G21)*(G15="×"))+SUMPRODUCT((H15:I15=G21)*(J15="×"))+SUMPRODUCT((K15:L15=G21)*(M15="×"))+SUMPRODUCT((N15:O15=G21)*(P15="×"))+SUMPRODUCT((B17:C17=G21)*(D17="×"))+SUMPRODUCT((E17:F17=G21)*(G17="×"))+SUMPRODUCT((H17:I17=G21)*(J17="×"))+SUMPRODUCT((K17:L17=G21)*(M17="×"))+SUMPRODUCT((N17:O17=G21)*(P17="×")))))</f>
        <v/>
      </c>
      <c r="H23" s="19"/>
      <c r="I23" s="19"/>
      <c r="J23" s="19"/>
      <c r="K23" s="19"/>
      <c r="L23" s="19"/>
      <c r="M23" s="19">
        <f>IF(M24="","",M24-(SUMPRODUCT((B5:C5="特活")*(D5="×"))+SUMPRODUCT((B5:C5="学活")*(D5="×"))+SUMPRODUCT((E5:F5="特活")*(G5="×"))+SUMPRODUCT((E5:F5="学活")*(G5="×"))+SUMPRODUCT((H5:I5="特活")*(J5="×"))+SUMPRODUCT((H5:I5="学活")*(J5="×"))+SUMPRODUCT((K5:L5="特活")*(M5="×"))+SUMPRODUCT((K5:L5="学活")*(M5="×"))+SUMPRODUCT((N5:O5="特活")*(P5="×"))+SUMPRODUCT((N5:O5="学活")*(P5="×"))+SUMPRODUCT((B7:C7="特活")*(D7="×"))+SUMPRODUCT((B7:C7="学活")*(D7="×"))+SUMPRODUCT((E7:F7="特活")*(G7="×"))+SUMPRODUCT((E7:F7="学活")*(G7="×"))+SUMPRODUCT((H7:I7="特活")*(J7="×"))+SUMPRODUCT((H7:I7="学活")*(J7="×"))+SUMPRODUCT((K7:L7="特活")*(M7="×"))+SUMPRODUCT((K7:L7="学活")*(M7="×"))+SUMPRODUCT((N7:O7="特活")*(P7="×"))+SUMPRODUCT((N7:O7="学活")*(P7="×"))+SUMPRODUCT((B9:C9="特活")*(D9="×"))+SUMPRODUCT((B9:C9="学活")*(D9="×"))+SUMPRODUCT((E9:F9="特活")*(G9="×"))+SUMPRODUCT((E9:F9="学活")*(G9="×"))+SUMPRODUCT((H9:I9="特活")*(J9="×"))+SUMPRODUCT((H9:I9="学活")*(J9="×"))+SUMPRODUCT((K9:L9="特活")*(M9="×"))+SUMPRODUCT((K9:L9="学活")*(M9="×"))+SUMPRODUCT((N9:O9="特活")*(P9="×"))+SUMPRODUCT((N9:O9="学活")*(P9="×"))+SUMPRODUCT((B11:C11="特活")*(D11="×"))+SUMPRODUCT((B11:C11="学活")*(D11="×"))+SUMPRODUCT((E11:F11="特活")*(G11="×"))+SUMPRODUCT((E11:F11="学活")*(G11="×"))+SUMPRODUCT((H11:I11="特活")*(J11="×"))+SUMPRODUCT((H11:I11="学活")*(J11="×"))+SUMPRODUCT((K11:L11="特活")*(M11="×"))+SUMPRODUCT((K11:L11="学活")*(M11="×"))+SUMPRODUCT((N11:O11="特活")*(P11="×"))+SUMPRODUCT((N11:O11="学活")*(P11="×"))+SUMPRODUCT((B13:C13="特活")*(D13="×"))+SUMPRODUCT((B13:C13="学活")*(D13="×"))+SUMPRODUCT((E13:F13="特活")*(G13="×"))+SUMPRODUCT((E13:F13="学活")*(G13="×"))+SUMPRODUCT((H13:I13="特活")*(J13="×"))+SUMPRODUCT((H13:I13="学活")*(J13="×"))+SUMPRODUCT((K13:L13="特活")*(M13="×"))+SUMPRODUCT((K13:L13="学活")*(M13="×"))+SUMPRODUCT((N13:O13="特活")*(P13="×"))+SUMPRODUCT((N13:O13="学活")*(P13="×"))+SUMPRODUCT((B15:C15="特活")*(D15="×"))+SUMPRODUCT((B15:C15="学活")*(D15="×"))+SUMPRODUCT((E15:F15="特活")*(G15="×"))+SUMPRODUCT((E15:F15="学活")*(G15="×"))+SUMPRODUCT((H15:I15="特活")*(J15="×"))+SUMPRODUCT((H15:I15="学活")*(J15="×"))+SUMPRODUCT((K15:L15="特活")*(M15="×"))+SUMPRODUCT((K15:L15="学活")*(M15="×"))+SUMPRODUCT((N15:O15="特活")*(P15="×"))+SUMPRODUCT((N15:O15="学活")*(P15="×"))+SUMPRODUCT((B17:C17="特活")*(D17="×"))+SUMPRODUCT((B17:C17="学活")*(D17="×"))+SUMPRODUCT((E17:F17="特活")*(G17="×"))+SUMPRODUCT((E17:F17="学活")*(G17="×"))+SUMPRODUCT((H17:I17="特活")*(J17="×"))+SUMPRODUCT((H17:I17="学活")*(J17="×"))+SUMPRODUCT((K17:L17="特活")*(M17="×"))+SUMPRODUCT((K17:L17="学活")*(M17="×"))+SUMPRODUCT((N17:O17="特活")*(P17="×"))+SUMPRODUCT((N17:O17="学活")*(P17="×"))))</f>
        <v/>
      </c>
      <c r="N23" s="19">
        <f>IF(N24="","",N24-(SUMPRODUCT((B5:C5=N21)*(D5="×"))+SUMPRODUCT((E5:F5=N21)*(G5="×"))+SUMPRODUCT((H5:I5=N21)*(J5="×"))+SUMPRODUCT((K5:L5=N21)*(M5="×"))+SUMPRODUCT((N5:O5=N21)*(P5="×"))+SUMPRODUCT((B7:C7=N21)*(D7="×"))+SUMPRODUCT((E7:F7=N21)*(G7="×"))+SUMPRODUCT((H7:I7=N21)*(J7="×"))+SUMPRODUCT((K7:L7=N21)*(M7="×"))+SUMPRODUCT((N7:O7=N21)*(P7="×"))+SUMPRODUCT((B9:C9=N21)*(D9="×"))+SUMPRODUCT((E9:F9=N21)*(G9="×"))+SUMPRODUCT((H9:I9=N21)*(J9="×"))+SUMPRODUCT((K9:L9=N21)*(M9="×"))+SUMPRODUCT((N9:O9=N21)*(P9="×"))+SUMPRODUCT((B11:C11=N21)*(D11="×"))+SUMPRODUCT((E11:F11=N21)*(G11="×"))+SUMPRODUCT((H11:I11=N21)*(J11="×"))+SUMPRODUCT((K11:L11=N21)*(M11="×"))+SUMPRODUCT((N11:O11=N21)*(P11="×"))+SUMPRODUCT((B13:C13=N21)*(D13="×"))+SUMPRODUCT((E13:F13=N21)*(G13="×"))+SUMPRODUCT((H13:I13=N21)*(J13="×"))+SUMPRODUCT((K13:L13=N21)*(M13="×"))+SUMPRODUCT((N13:O13=N21)*(P13="×"))+SUMPRODUCT((B15:C15=N21)*(D15="×"))+SUMPRODUCT((E15:F15=N21)*(G15="×"))+SUMPRODUCT((H15:I15=N21)*(J15="×"))+SUMPRODUCT((K15:L15=N21)*(M15="×"))+SUMPRODUCT((N15:O15=N21)*(P15="×"))+SUMPRODUCT((B17:C17=N21)*(D17="×"))+SUMPRODUCT((E17:F17=N21)*(G17="×"))+SUMPRODUCT((H17:I17=N21)*(J17="×"))+SUMPRODUCT((K17:L17=N21)*(M17="×"))+SUMPRODUCT((N17:O17=N21)*(P17="×"))))</f>
        <v/>
      </c>
      <c r="O23" s="19">
        <f>IF(O24="","",O24-(SUMPRODUCT((B5:C5=O21)*(D5="×"))+SUMPRODUCT((E5:F5=O21)*(G5="×"))+SUMPRODUCT((H5:I5=O21)*(J5="×"))+SUMPRODUCT((K5:L5=O21)*(M5="×"))+SUMPRODUCT((N5:O5=O21)*(P5="×"))+SUMPRODUCT((B7:C7=O21)*(D7="×"))+SUMPRODUCT((E7:F7=O21)*(G7="×"))+SUMPRODUCT((H7:I7=O21)*(J7="×"))+SUMPRODUCT((K7:L7=O21)*(M7="×"))+SUMPRODUCT((N7:O7=O21)*(P7="×"))+SUMPRODUCT((B9:C9=O21)*(D9="×"))+SUMPRODUCT((E9:F9=O21)*(G9="×"))+SUMPRODUCT((H9:I9=O21)*(J9="×"))+SUMPRODUCT((K9:L9=O21)*(M9="×"))+SUMPRODUCT((N9:O9=O21)*(P9="×"))+SUMPRODUCT((B11:C11=O21)*(D11="×"))+SUMPRODUCT((E11:F11=O21)*(G11="×"))+SUMPRODUCT((H11:I11=O21)*(J11="×"))+SUMPRODUCT((K11:L11=O21)*(M11="×"))+SUMPRODUCT((N11:O11=O21)*(P11="×"))+SUMPRODUCT((B13:C13=O21)*(D13="×"))+SUMPRODUCT((E13:F13=O21)*(G13="×"))+SUMPRODUCT((H13:I13=O21)*(J13="×"))+SUMPRODUCT((K13:L13=O21)*(M13="×"))+SUMPRODUCT((N13:O13=O21)*(P13="×"))+SUMPRODUCT((B15:C15=O21)*(D15="×"))+SUMPRODUCT((E15:F15=O21)*(G15="×"))+SUMPRODUCT((H15:I15=O21)*(J15="×"))+SUMPRODUCT((K15:L15=O21)*(M15="×"))+SUMPRODUCT((N15:O15=O21)*(P15="×"))+SUMPRODUCT((B17:C17=O21)*(D17="×"))+SUMPRODUCT((E17:F17=O21)*(G17="×"))+SUMPRODUCT((H17:I17=O21)*(J17="×"))+SUMPRODUCT((K17:L17=O21)*(M17="×"))+SUMPRODUCT((N17:O17=O21)*(P17="×"))))</f>
        <v/>
      </c>
      <c r="P23" s="20">
        <f>IF(SUM(B23:O23)=0,"",SUM(B23:O23))</f>
        <v/>
      </c>
    </row>
    <row r="24" spans="1:16" ht="13.5" customHeight="1" x14ac:dyDescent="0.2">
      <c r="A24" s="36"/>
      <c r="B24" s="21">
        <f>IF(B21="","",IF(COUNTIF(B5:C5,B21)+COUNTIF(B5:C5,"*,"&amp;B21&amp;",*")+COUNTIF(E5:F5,B21)+COUNTIF(E5:F5,"*,"&amp;B21&amp;",*")+COUNTIF(H5:I5,B21)+COUNTIF(H5:I5,"*,"&amp;B21&amp;",*")+COUNTIF(K5:L5,B21)+COUNTIF(K5:L5,"*,"&amp;B21&amp;",*")+COUNTIF(N5:O5,B21)+COUNTIF(N5:O5,"*,"&amp;B21&amp;",*")+COUNTIF(B7:C7,B21)+COUNTIF(B7:C7,"*,"&amp;B21&amp;",*")+COUNTIF(E7:F7,B21)+COUNTIF(E7:F7,"*,"&amp;B21&amp;",*")+COUNTIF(H7:I7,B21)+COUNTIF(H7:I7,"*,"&amp;B21&amp;",*")+COUNTIF(K7:L7,B21)+COUNTIF(K7:L7,"*,"&amp;B21&amp;",*")+COUNTIF(N7:O7,B21)+COUNTIF(N7:O7,"*,"&amp;B21&amp;",*")+COUNTIF(B9:C9,B21)+COUNTIF(B9:C9,"*,"&amp;B21&amp;",*")+COUNTIF(E9:F9,B21)+COUNTIF(E9:F9,"*,"&amp;B21&amp;",*")+COUNTIF(H9:I9,B21)+COUNTIF(H9:I9,"*,"&amp;B21&amp;",*")+COUNTIF(K9:L9,B21)+COUNTIF(K9:L9,"*,"&amp;B21&amp;",*")+COUNTIF(N9:O9,B21)+COUNTIF(N9:O9,"*,"&amp;B21&amp;",*")+COUNTIF(B11:C11,B21)+COUNTIF(B11:C11,"*,"&amp;B21&amp;",*")+COUNTIF(E11:F11,B21)+COUNTIF(E11:F11,"*,"&amp;B21&amp;",*")+COUNTIF(H11:I11,B21)+COUNTIF(H11:I11,"*,"&amp;B21&amp;",*")+COUNTIF(K11:L11,B21)+COUNTIF(K11:L11,"*,"&amp;B21&amp;",*")+COUNTIF(N11:O11,B21)+COUNTIF(N11:O11,"*,"&amp;B21&amp;",*")+COUNTIF(B13:C13,B21)+COUNTIF(B13:C13,"*,"&amp;B21&amp;",*")+COUNTIF(E13:F13,B21)+COUNTIF(E13:F13,"*,"&amp;B21&amp;",*")+COUNTIF(H13:I13,B21)+COUNTIF(H13:I13,"*,"&amp;B21&amp;",*")+COUNTIF(K13:L13,B21)+COUNTIF(K13:L13,"*,"&amp;B21&amp;",*")+COUNTIF(N13:O13,B21)+COUNTIF(N13:O13,"*,"&amp;B21&amp;",*")+COUNTIF(B15:C15,B21)+COUNTIF(B15:C15,"*,"&amp;B21&amp;",*")+COUNTIF(E15:F15,B21)+COUNTIF(E15:F15,"*,"&amp;B21&amp;",*")+COUNTIF(H15:I15,B21)+COUNTIF(H15:I15,"*,"&amp;B21&amp;",*")+COUNTIF(K15:L15,B21)+COUNTIF(K15:L15,"*,"&amp;B21&amp;",*")+COUNTIF(N15:O15,B21)+COUNTIF(N15:O15,"*,"&amp;B21&amp;",*")+COUNTIF(B17:C17,B21)+COUNTIF(B17:C17,"*,"&amp;B21&amp;",*")+COUNTIF(E17:F17,B21)+COUNTIF(E17:F17,"*,"&amp;B21&amp;",*")+COUNTIF(H17:I17,B21)+COUNTIF(H17:I17,"*,"&amp;B21&amp;",*")+COUNTIF(K17:L17,B21)+COUNTIF(K17:L17,"*,"&amp;B21&amp;",*")+COUNTIF(N17:O17,B21)+COUNTIF(N17:O17,"*,"&amp;B21&amp;",*")=0,"",COUNTIF(B5:C5,B21)+COUNTIF(B5:C5,"*,"&amp;B21&amp;",*")+COUNTIF(E5:F5,B21)+COUNTIF(E5:F5,"*,"&amp;B21&amp;",*")+COUNTIF(H5:I5,B21)+COUNTIF(H5:I5,"*,"&amp;B21&amp;",*")+COUNTIF(K5:L5,B21)+COUNTIF(K5:L5,"*,"&amp;B21&amp;",*")+COUNTIF(N5:O5,B21)+COUNTIF(N5:O5,"*,"&amp;B21&amp;",*")+COUNTIF(B7:C7,B21)+COUNTIF(B7:C7,"*,"&amp;B21&amp;",*")+COUNTIF(E7:F7,B21)+COUNTIF(E7:F7,"*,"&amp;B21&amp;",*")+COUNTIF(H7:I7,B21)+COUNTIF(H7:I7,"*,"&amp;B21&amp;",*")+COUNTIF(K7:L7,B21)+COUNTIF(K7:L7,"*,"&amp;B21&amp;",*")+COUNTIF(N7:O7,B21)+COUNTIF(N7:O7,"*,"&amp;B21&amp;",*")+COUNTIF(B9:C9,B21)+COUNTIF(B9:C9,"*,"&amp;B21&amp;",*")+COUNTIF(E9:F9,B21)+COUNTIF(E9:F9,"*,"&amp;B21&amp;",*")+COUNTIF(H9:I9,B21)+COUNTIF(H9:I9,"*,"&amp;B21&amp;",*")+COUNTIF(K9:L9,B21)+COUNTIF(K9:L9,"*,"&amp;B21&amp;",*")+COUNTIF(N9:O9,B21)+COUNTIF(N9:O9,"*,"&amp;B21&amp;",*")+COUNTIF(B11:C11,B21)+COUNTIF(B11:C11,"*,"&amp;B21&amp;",*")+COUNTIF(E11:F11,B21)+COUNTIF(E11:F11,"*,"&amp;B21&amp;",*")+COUNTIF(H11:I11,B21)+COUNTIF(H11:I11,"*,"&amp;B21&amp;",*")+COUNTIF(K11:L11,B21)+COUNTIF(K11:L11,"*,"&amp;B21&amp;",*")+COUNTIF(N11:O11,B21)+COUNTIF(N11:O11,"*,"&amp;B21&amp;",*")+COUNTIF(B13:C13,B21)+COUNTIF(B13:C13,"*,"&amp;B21&amp;",*")+COUNTIF(E13:F13,B21)+COUNTIF(E13:F13,"*,"&amp;B21&amp;",*")+COUNTIF(H13:I13,B21)+COUNTIF(H13:I13,"*,"&amp;B21&amp;",*")+COUNTIF(K13:L13,B21)+COUNTIF(K13:L13,"*,"&amp;B21&amp;",*")+COUNTIF(N13:O13,B21)+COUNTIF(N13:O13,"*,"&amp;B21&amp;",*")+COUNTIF(B15:C15,B21)+COUNTIF(B15:C15,"*,"&amp;B21&amp;",*")+COUNTIF(E15:F15,B21)+COUNTIF(E15:F15,"*,"&amp;B21&amp;",*")+COUNTIF(H15:I15,B21)+COUNTIF(H15:I15,"*,"&amp;B21&amp;",*")+COUNTIF(K15:L15,B21)+COUNTIF(K15:L15,"*,"&amp;B21&amp;",*")+COUNTIF(N15:O15,B21)+COUNTIF(N15:O15,"*,"&amp;B21&amp;",*")+COUNTIF(B17:C17,B21)+COUNTIF(B17:C17,"*,"&amp;B21&amp;",*")+COUNTIF(E17:F17,B21)+COUNTIF(E17:F17,"*,"&amp;B21&amp;",*")+COUNTIF(H17:I17,B21)+COUNTIF(H17:I17,"*,"&amp;B21&amp;",*")+COUNTIF(K17:L17,B21)+COUNTIF(K17:L17,"*,"&amp;B21&amp;",*")+COUNTIF(N17:O17,B21)+COUNTIF(N17:O17,"*,"&amp;B21&amp;",*")))</f>
        <v/>
      </c>
      <c r="C24" s="21">
        <f>IF(C21="","",IF(COUNTIF(B5:C5,C21)+COUNTIF(B5:C5,"*,"&amp;C21&amp;",*")+COUNTIF(E5:F5,C21)+COUNTIF(E5:F5,"*,"&amp;C21&amp;",*")+COUNTIF(H5:I5,C21)+COUNTIF(H5:I5,"*,"&amp;C21&amp;",*")+COUNTIF(K5:L5,C21)+COUNTIF(K5:L5,"*,"&amp;C21&amp;",*")+COUNTIF(N5:O5,C21)+COUNTIF(N5:O5,"*,"&amp;C21&amp;",*")+COUNTIF(B7:C7,C21)+COUNTIF(B7:C7,"*,"&amp;C21&amp;",*")+COUNTIF(E7:F7,C21)+COUNTIF(E7:F7,"*,"&amp;C21&amp;",*")+COUNTIF(H7:I7,C21)+COUNTIF(H7:I7,"*,"&amp;C21&amp;",*")+COUNTIF(K7:L7,C21)+COUNTIF(K7:L7,"*,"&amp;C21&amp;",*")+COUNTIF(N7:O7,C21)+COUNTIF(N7:O7,"*,"&amp;C21&amp;",*")+COUNTIF(B9:C9,C21)+COUNTIF(B9:C9,"*,"&amp;C21&amp;",*")+COUNTIF(E9:F9,C21)+COUNTIF(E9:F9,"*,"&amp;C21&amp;",*")+COUNTIF(H9:I9,C21)+COUNTIF(H9:I9,"*,"&amp;C21&amp;",*")+COUNTIF(K9:L9,C21)+COUNTIF(K9:L9,"*,"&amp;C21&amp;",*")+COUNTIF(N9:O9,C21)+COUNTIF(N9:O9,"*,"&amp;C21&amp;",*")+COUNTIF(B11:C11,C21)+COUNTIF(B11:C11,"*,"&amp;C21&amp;",*")+COUNTIF(E11:F11,C21)+COUNTIF(E11:F11,"*,"&amp;C21&amp;",*")+COUNTIF(H11:I11,C21)+COUNTIF(H11:I11,"*,"&amp;C21&amp;",*")+COUNTIF(K11:L11,C21)+COUNTIF(K11:L11,"*,"&amp;C21&amp;",*")+COUNTIF(N11:O11,C21)+COUNTIF(N11:O11,"*,"&amp;C21&amp;",*")+COUNTIF(B13:C13,C21)+COUNTIF(B13:C13,"*,"&amp;C21&amp;",*")+COUNTIF(E13:F13,C21)+COUNTIF(E13:F13,"*,"&amp;C21&amp;",*")+COUNTIF(H13:I13,C21)+COUNTIF(H13:I13,"*,"&amp;C21&amp;",*")+COUNTIF(K13:L13,C21)+COUNTIF(K13:L13,"*,"&amp;C21&amp;",*")+COUNTIF(N13:O13,C21)+COUNTIF(N13:O13,"*,"&amp;C21&amp;",*")+COUNTIF(B15:C15,C21)+COUNTIF(B15:C15,"*,"&amp;C21&amp;",*")+COUNTIF(E15:F15,C21)+COUNTIF(E15:F15,"*,"&amp;C21&amp;",*")+COUNTIF(H15:I15,C21)+COUNTIF(H15:I15,"*,"&amp;C21&amp;",*")+COUNTIF(K15:L15,C21)+COUNTIF(K15:L15,"*,"&amp;C21&amp;",*")+COUNTIF(N15:O15,C21)+COUNTIF(N15:O15,"*,"&amp;C21&amp;",*")+COUNTIF(B17:C17,C21)+COUNTIF(B17:C17,"*,"&amp;C21&amp;",*")+COUNTIF(E17:F17,C21)+COUNTIF(E17:F17,"*,"&amp;C21&amp;",*")+COUNTIF(H17:I17,C21)+COUNTIF(H17:I17,"*,"&amp;C21&amp;",*")+COUNTIF(K17:L17,C21)+COUNTIF(K17:L17,"*,"&amp;C21&amp;",*")+COUNTIF(N17:O17,C21)+COUNTIF(N17:O17,"*,"&amp;C21&amp;",*")=0,"",COUNTIF(B5:C5,C21)+COUNTIF(B5:C5,"*,"&amp;C21&amp;",*")+COUNTIF(E5:F5,C21)+COUNTIF(E5:F5,"*,"&amp;C21&amp;",*")+COUNTIF(H5:I5,C21)+COUNTIF(H5:I5,"*,"&amp;C21&amp;",*")+COUNTIF(K5:L5,C21)+COUNTIF(K5:L5,"*,"&amp;C21&amp;",*")+COUNTIF(N5:O5,C21)+COUNTIF(N5:O5,"*,"&amp;C21&amp;",*")+COUNTIF(B7:C7,C21)+COUNTIF(B7:C7,"*,"&amp;C21&amp;",*")+COUNTIF(E7:F7,C21)+COUNTIF(E7:F7,"*,"&amp;C21&amp;",*")+COUNTIF(H7:I7,C21)+COUNTIF(H7:I7,"*,"&amp;C21&amp;",*")+COUNTIF(K7:L7,C21)+COUNTIF(K7:L7,"*,"&amp;C21&amp;",*")+COUNTIF(N7:O7,C21)+COUNTIF(N7:O7,"*,"&amp;C21&amp;",*")+COUNTIF(B9:C9,C21)+COUNTIF(B9:C9,"*,"&amp;C21&amp;",*")+COUNTIF(E9:F9,C21)+COUNTIF(E9:F9,"*,"&amp;C21&amp;",*")+COUNTIF(H9:I9,C21)+COUNTIF(H9:I9,"*,"&amp;C21&amp;",*")+COUNTIF(K9:L9,C21)+COUNTIF(K9:L9,"*,"&amp;C21&amp;",*")+COUNTIF(N9:O9,C21)+COUNTIF(N9:O9,"*,"&amp;C21&amp;",*")+COUNTIF(B11:C11,C21)+COUNTIF(B11:C11,"*,"&amp;C21&amp;",*")+COUNTIF(E11:F11,C21)+COUNTIF(E11:F11,"*,"&amp;C21&amp;",*")+COUNTIF(H11:I11,C21)+COUNTIF(H11:I11,"*,"&amp;C21&amp;",*")+COUNTIF(K11:L11,C21)+COUNTIF(K11:L11,"*,"&amp;C21&amp;",*")+COUNTIF(N11:O11,C21)+COUNTIF(N11:O11,"*,"&amp;C21&amp;",*")+COUNTIF(B13:C13,C21)+COUNTIF(B13:C13,"*,"&amp;C21&amp;",*")+COUNTIF(E13:F13,C21)+COUNTIF(E13:F13,"*,"&amp;C21&amp;",*")+COUNTIF(H13:I13,C21)+COUNTIF(H13:I13,"*,"&amp;C21&amp;",*")+COUNTIF(K13:L13,C21)+COUNTIF(K13:L13,"*,"&amp;C21&amp;",*")+COUNTIF(N13:O13,C21)+COUNTIF(N13:O13,"*,"&amp;C21&amp;",*")+COUNTIF(B15:C15,C21)+COUNTIF(B15:C15,"*,"&amp;C21&amp;",*")+COUNTIF(E15:F15,C21)+COUNTIF(E15:F15,"*,"&amp;C21&amp;",*")+COUNTIF(H15:I15,C21)+COUNTIF(H15:I15,"*,"&amp;C21&amp;",*")+COUNTIF(K15:L15,C21)+COUNTIF(K15:L15,"*,"&amp;C21&amp;",*")+COUNTIF(N15:O15,C21)+COUNTIF(N15:O15,"*,"&amp;C21&amp;",*")+COUNTIF(B17:C17,C21)+COUNTIF(B17:C17,"*,"&amp;C21&amp;",*")+COUNTIF(E17:F17,C21)+COUNTIF(E17:F17,"*,"&amp;C21&amp;",*")+COUNTIF(H17:I17,C21)+COUNTIF(H17:I17,"*,"&amp;C21&amp;",*")+COUNTIF(K17:L17,C21)+COUNTIF(K17:L17,"*,"&amp;C21&amp;",*")+COUNTIF(N17:O17,C21)+COUNTIF(N17:O17,"*,"&amp;C21&amp;",*")))</f>
        <v/>
      </c>
      <c r="D24" s="21">
        <f>IF(D21="","",IF(COUNTIF(B5:C5,D21)+COUNTIF(B5:C5,"*,"&amp;D21&amp;",*")+COUNTIF(E5:F5,D21)+COUNTIF(E5:F5,"*,"&amp;D21&amp;",*")+COUNTIF(H5:I5,D21)+COUNTIF(H5:I5,"*,"&amp;D21&amp;",*")+COUNTIF(K5:L5,D21)+COUNTIF(K5:L5,"*,"&amp;D21&amp;",*")+COUNTIF(N5:O5,D21)+COUNTIF(N5:O5,"*,"&amp;D21&amp;",*")+COUNTIF(B7:C7,D21)+COUNTIF(B7:C7,"*,"&amp;D21&amp;",*")+COUNTIF(E7:F7,D21)+COUNTIF(E7:F7,"*,"&amp;D21&amp;",*")+COUNTIF(H7:I7,D21)+COUNTIF(H7:I7,"*,"&amp;D21&amp;",*")+COUNTIF(K7:L7,D21)+COUNTIF(K7:L7,"*,"&amp;D21&amp;",*")+COUNTIF(N7:O7,D21)+COUNTIF(N7:O7,"*,"&amp;D21&amp;",*")+COUNTIF(B9:C9,D21)+COUNTIF(B9:C9,"*,"&amp;D21&amp;",*")+COUNTIF(E9:F9,D21)+COUNTIF(E9:F9,"*,"&amp;D21&amp;",*")+COUNTIF(H9:I9,D21)+COUNTIF(H9:I9,"*,"&amp;D21&amp;",*")+COUNTIF(K9:L9,D21)+COUNTIF(K9:L9,"*,"&amp;D21&amp;",*")+COUNTIF(N9:O9,D21)+COUNTIF(N9:O9,"*,"&amp;D21&amp;",*")+COUNTIF(B11:C11,D21)+COUNTIF(B11:C11,"*,"&amp;D21&amp;",*")+COUNTIF(E11:F11,D21)+COUNTIF(E11:F11,"*,"&amp;D21&amp;",*")+COUNTIF(H11:I11,D21)+COUNTIF(H11:I11,"*,"&amp;D21&amp;",*")+COUNTIF(K11:L11,D21)+COUNTIF(K11:L11,"*,"&amp;D21&amp;",*")+COUNTIF(N11:O11,D21)+COUNTIF(N11:O11,"*,"&amp;D21&amp;",*")+COUNTIF(B13:C13,D21)+COUNTIF(B13:C13,"*,"&amp;D21&amp;",*")+COUNTIF(E13:F13,D21)+COUNTIF(E13:F13,"*,"&amp;D21&amp;",*")+COUNTIF(H13:I13,D21)+COUNTIF(H13:I13,"*,"&amp;D21&amp;",*")+COUNTIF(K13:L13,D21)+COUNTIF(K13:L13,"*,"&amp;D21&amp;",*")+COUNTIF(N13:O13,D21)+COUNTIF(N13:O13,"*,"&amp;D21&amp;",*")+COUNTIF(B15:C15,D21)+COUNTIF(B15:C15,"*,"&amp;D21&amp;",*")+COUNTIF(E15:F15,D21)+COUNTIF(E15:F15,"*,"&amp;D21&amp;",*")+COUNTIF(H15:I15,D21)+COUNTIF(H15:I15,"*,"&amp;D21&amp;",*")+COUNTIF(K15:L15,D21)+COUNTIF(K15:L15,"*,"&amp;D21&amp;",*")+COUNTIF(N15:O15,D21)+COUNTIF(N15:O15,"*,"&amp;D21&amp;",*")+COUNTIF(B17:C17,D21)+COUNTIF(B17:C17,"*,"&amp;D21&amp;",*")+COUNTIF(E17:F17,D21)+COUNTIF(E17:F17,"*,"&amp;D21&amp;",*")+COUNTIF(H17:I17,D21)+COUNTIF(H17:I17,"*,"&amp;D21&amp;",*")+COUNTIF(K17:L17,D21)+COUNTIF(K17:L17,"*,"&amp;D21&amp;",*")+COUNTIF(N17:O17,D21)+COUNTIF(N17:O17,"*,"&amp;D21&amp;",*")=0,"",COUNTIF(B5:C5,D21)+COUNTIF(B5:C5,"*,"&amp;D21&amp;",*")+COUNTIF(E5:F5,D21)+COUNTIF(E5:F5,"*,"&amp;D21&amp;",*")+COUNTIF(H5:I5,D21)+COUNTIF(H5:I5,"*,"&amp;D21&amp;",*")+COUNTIF(K5:L5,D21)+COUNTIF(K5:L5,"*,"&amp;D21&amp;",*")+COUNTIF(N5:O5,D21)+COUNTIF(N5:O5,"*,"&amp;D21&amp;",*")+COUNTIF(B7:C7,D21)+COUNTIF(B7:C7,"*,"&amp;D21&amp;",*")+COUNTIF(E7:F7,D21)+COUNTIF(E7:F7,"*,"&amp;D21&amp;",*")+COUNTIF(H7:I7,D21)+COUNTIF(H7:I7,"*,"&amp;D21&amp;",*")+COUNTIF(K7:L7,D21)+COUNTIF(K7:L7,"*,"&amp;D21&amp;",*")+COUNTIF(N7:O7,D21)+COUNTIF(N7:O7,"*,"&amp;D21&amp;",*")+COUNTIF(B9:C9,D21)+COUNTIF(B9:C9,"*,"&amp;D21&amp;",*")+COUNTIF(E9:F9,D21)+COUNTIF(E9:F9,"*,"&amp;D21&amp;",*")+COUNTIF(H9:I9,D21)+COUNTIF(H9:I9,"*,"&amp;D21&amp;",*")+COUNTIF(K9:L9,D21)+COUNTIF(K9:L9,"*,"&amp;D21&amp;",*")+COUNTIF(N9:O9,D21)+COUNTIF(N9:O9,"*,"&amp;D21&amp;",*")+COUNTIF(B11:C11,D21)+COUNTIF(B11:C11,"*,"&amp;D21&amp;",*")+COUNTIF(E11:F11,D21)+COUNTIF(E11:F11,"*,"&amp;D21&amp;",*")+COUNTIF(H11:I11,D21)+COUNTIF(H11:I11,"*,"&amp;D21&amp;",*")+COUNTIF(K11:L11,D21)+COUNTIF(K11:L11,"*,"&amp;D21&amp;",*")+COUNTIF(N11:O11,D21)+COUNTIF(N11:O11,"*,"&amp;D21&amp;",*")+COUNTIF(B13:C13,D21)+COUNTIF(B13:C13,"*,"&amp;D21&amp;",*")+COUNTIF(E13:F13,D21)+COUNTIF(E13:F13,"*,"&amp;D21&amp;",*")+COUNTIF(H13:I13,D21)+COUNTIF(H13:I13,"*,"&amp;D21&amp;",*")+COUNTIF(K13:L13,D21)+COUNTIF(K13:L13,"*,"&amp;D21&amp;",*")+COUNTIF(N13:O13,D21)+COUNTIF(N13:O13,"*,"&amp;D21&amp;",*")+COUNTIF(B15:C15,D21)+COUNTIF(B15:C15,"*,"&amp;D21&amp;",*")+COUNTIF(E15:F15,D21)+COUNTIF(E15:F15,"*,"&amp;D21&amp;",*")+COUNTIF(H15:I15,D21)+COUNTIF(H15:I15,"*,"&amp;D21&amp;",*")+COUNTIF(K15:L15,D21)+COUNTIF(K15:L15,"*,"&amp;D21&amp;",*")+COUNTIF(N15:O15,D21)+COUNTIF(N15:O15,"*,"&amp;D21&amp;",*")+COUNTIF(B17:C17,D21)+COUNTIF(B17:C17,"*,"&amp;D21&amp;",*")+COUNTIF(E17:F17,D21)+COUNTIF(E17:F17,"*,"&amp;D21&amp;",*")+COUNTIF(H17:I17,D21)+COUNTIF(H17:I17,"*,"&amp;D21&amp;",*")+COUNTIF(K17:L17,D21)+COUNTIF(K17:L17,"*,"&amp;D21&amp;",*")+COUNTIF(N17:O17,D21)+COUNTIF(N17:O17,"*,"&amp;D21&amp;",*")))</f>
        <v/>
      </c>
      <c r="E24" s="21">
        <f>IF(E21="","",IF(COUNTIF(B5:C5,E21)+COUNTIF(B5:C5,"*,"&amp;E21&amp;",*")+COUNTIF(E5:F5,E21)+COUNTIF(E5:F5,"*,"&amp;E21&amp;",*")+COUNTIF(H5:I5,E21)+COUNTIF(H5:I5,"*,"&amp;E21&amp;",*")+COUNTIF(K5:L5,E21)+COUNTIF(K5:L5,"*,"&amp;E21&amp;",*")+COUNTIF(N5:O5,E21)+COUNTIF(N5:O5,"*,"&amp;E21&amp;",*")+COUNTIF(B7:C7,E21)+COUNTIF(B7:C7,"*,"&amp;E21&amp;",*")+COUNTIF(E7:F7,E21)+COUNTIF(E7:F7,"*,"&amp;E21&amp;",*")+COUNTIF(H7:I7,E21)+COUNTIF(H7:I7,"*,"&amp;E21&amp;",*")+COUNTIF(K7:L7,E21)+COUNTIF(K7:L7,"*,"&amp;E21&amp;",*")+COUNTIF(N7:O7,E21)+COUNTIF(N7:O7,"*,"&amp;E21&amp;",*")+COUNTIF(B9:C9,E21)+COUNTIF(B9:C9,"*,"&amp;E21&amp;",*")+COUNTIF(E9:F9,E21)+COUNTIF(E9:F9,"*,"&amp;E21&amp;",*")+COUNTIF(H9:I9,E21)+COUNTIF(H9:I9,"*,"&amp;E21&amp;",*")+COUNTIF(K9:L9,E21)+COUNTIF(K9:L9,"*,"&amp;E21&amp;",*")+COUNTIF(N9:O9,E21)+COUNTIF(N9:O9,"*,"&amp;E21&amp;",*")+COUNTIF(B11:C11,E21)+COUNTIF(B11:C11,"*,"&amp;E21&amp;",*")+COUNTIF(E11:F11,E21)+COUNTIF(E11:F11,"*,"&amp;E21&amp;",*")+COUNTIF(H11:I11,E21)+COUNTIF(H11:I11,"*,"&amp;E21&amp;",*")+COUNTIF(K11:L11,E21)+COUNTIF(K11:L11,"*,"&amp;E21&amp;",*")+COUNTIF(N11:O11,E21)+COUNTIF(N11:O11,"*,"&amp;E21&amp;",*")+COUNTIF(B13:C13,E21)+COUNTIF(B13:C13,"*,"&amp;E21&amp;",*")+COUNTIF(E13:F13,E21)+COUNTIF(E13:F13,"*,"&amp;E21&amp;",*")+COUNTIF(H13:I13,E21)+COUNTIF(H13:I13,"*,"&amp;E21&amp;",*")+COUNTIF(K13:L13,E21)+COUNTIF(K13:L13,"*,"&amp;E21&amp;",*")+COUNTIF(N13:O13,E21)+COUNTIF(N13:O13,"*,"&amp;E21&amp;",*")+COUNTIF(B15:C15,E21)+COUNTIF(B15:C15,"*,"&amp;E21&amp;",*")+COUNTIF(E15:F15,E21)+COUNTIF(E15:F15,"*,"&amp;E21&amp;",*")+COUNTIF(H15:I15,E21)+COUNTIF(H15:I15,"*,"&amp;E21&amp;",*")+COUNTIF(K15:L15,E21)+COUNTIF(K15:L15,"*,"&amp;E21&amp;",*")+COUNTIF(N15:O15,E21)+COUNTIF(N15:O15,"*,"&amp;E21&amp;",*")+COUNTIF(B17:C17,E21)+COUNTIF(B17:C17,"*,"&amp;E21&amp;",*")+COUNTIF(E17:F17,E21)+COUNTIF(E17:F17,"*,"&amp;E21&amp;",*")+COUNTIF(H17:I17,E21)+COUNTIF(H17:I17,"*,"&amp;E21&amp;",*")+COUNTIF(K17:L17,E21)+COUNTIF(K17:L17,"*,"&amp;E21&amp;",*")+COUNTIF(N17:O17,E21)+COUNTIF(N17:O17,"*,"&amp;E21&amp;",*")=0,"",COUNTIF(B5:C5,E21)+COUNTIF(B5:C5,"*,"&amp;E21&amp;",*")+COUNTIF(E5:F5,E21)+COUNTIF(E5:F5,"*,"&amp;E21&amp;",*")+COUNTIF(H5:I5,E21)+COUNTIF(H5:I5,"*,"&amp;E21&amp;",*")+COUNTIF(K5:L5,E21)+COUNTIF(K5:L5,"*,"&amp;E21&amp;",*")+COUNTIF(N5:O5,E21)+COUNTIF(N5:O5,"*,"&amp;E21&amp;",*")+COUNTIF(B7:C7,E21)+COUNTIF(B7:C7,"*,"&amp;E21&amp;",*")+COUNTIF(E7:F7,E21)+COUNTIF(E7:F7,"*,"&amp;E21&amp;",*")+COUNTIF(H7:I7,E21)+COUNTIF(H7:I7,"*,"&amp;E21&amp;",*")+COUNTIF(K7:L7,E21)+COUNTIF(K7:L7,"*,"&amp;E21&amp;",*")+COUNTIF(N7:O7,E21)+COUNTIF(N7:O7,"*,"&amp;E21&amp;",*")+COUNTIF(B9:C9,E21)+COUNTIF(B9:C9,"*,"&amp;E21&amp;",*")+COUNTIF(E9:F9,E21)+COUNTIF(E9:F9,"*,"&amp;E21&amp;",*")+COUNTIF(H9:I9,E21)+COUNTIF(H9:I9,"*,"&amp;E21&amp;",*")+COUNTIF(K9:L9,E21)+COUNTIF(K9:L9,"*,"&amp;E21&amp;",*")+COUNTIF(N9:O9,E21)+COUNTIF(N9:O9,"*,"&amp;E21&amp;",*")+COUNTIF(B11:C11,E21)+COUNTIF(B11:C11,"*,"&amp;E21&amp;",*")+COUNTIF(E11:F11,E21)+COUNTIF(E11:F11,"*,"&amp;E21&amp;",*")+COUNTIF(H11:I11,E21)+COUNTIF(H11:I11,"*,"&amp;E21&amp;",*")+COUNTIF(K11:L11,E21)+COUNTIF(K11:L11,"*,"&amp;E21&amp;",*")+COUNTIF(N11:O11,E21)+COUNTIF(N11:O11,"*,"&amp;E21&amp;",*")+COUNTIF(B13:C13,E21)+COUNTIF(B13:C13,"*,"&amp;E21&amp;",*")+COUNTIF(E13:F13,E21)+COUNTIF(E13:F13,"*,"&amp;E21&amp;",*")+COUNTIF(H13:I13,E21)+COUNTIF(H13:I13,"*,"&amp;E21&amp;",*")+COUNTIF(K13:L13,E21)+COUNTIF(K13:L13,"*,"&amp;E21&amp;",*")+COUNTIF(N13:O13,E21)+COUNTIF(N13:O13,"*,"&amp;E21&amp;",*")+COUNTIF(B15:C15,E21)+COUNTIF(B15:C15,"*,"&amp;E21&amp;",*")+COUNTIF(E15:F15,E21)+COUNTIF(E15:F15,"*,"&amp;E21&amp;",*")+COUNTIF(H15:I15,E21)+COUNTIF(H15:I15,"*,"&amp;E21&amp;",*")+COUNTIF(K15:L15,E21)+COUNTIF(K15:L15,"*,"&amp;E21&amp;",*")+COUNTIF(N15:O15,E21)+COUNTIF(N15:O15,"*,"&amp;E21&amp;",*")+COUNTIF(B17:C17,E21)+COUNTIF(B17:C17,"*,"&amp;E21&amp;",*")+COUNTIF(E17:F17,E21)+COUNTIF(E17:F17,"*,"&amp;E21&amp;",*")+COUNTIF(H17:I17,E21)+COUNTIF(H17:I17,"*,"&amp;E21&amp;",*")+COUNTIF(K17:L17,E21)+COUNTIF(K17:L17,"*,"&amp;E21&amp;",*")+COUNTIF(N17:O17,E21)+COUNTIF(N17:O17,"*,"&amp;E21&amp;",*")))</f>
        <v/>
      </c>
      <c r="F24" s="21">
        <f>IF(F21="","",IF(COUNTIF(B5:C5,F21)+COUNTIF(B5:C5,"*,"&amp;F21&amp;",*")+COUNTIF(E5:F5,F21)+COUNTIF(E5:F5,"*,"&amp;F21&amp;",*")+COUNTIF(H5:I5,F21)+COUNTIF(H5:I5,"*,"&amp;F21&amp;",*")+COUNTIF(K5:L5,F21)+COUNTIF(K5:L5,"*,"&amp;F21&amp;",*")+COUNTIF(N5:O5,F21)+COUNTIF(N5:O5,"*,"&amp;F21&amp;",*")+COUNTIF(B7:C7,F21)+COUNTIF(B7:C7,"*,"&amp;F21&amp;",*")+COUNTIF(E7:F7,F21)+COUNTIF(E7:F7,"*,"&amp;F21&amp;",*")+COUNTIF(H7:I7,F21)+COUNTIF(H7:I7,"*,"&amp;F21&amp;",*")+COUNTIF(K7:L7,F21)+COUNTIF(K7:L7,"*,"&amp;F21&amp;",*")+COUNTIF(N7:O7,F21)+COUNTIF(N7:O7,"*,"&amp;F21&amp;",*")+COUNTIF(B9:C9,F21)+COUNTIF(B9:C9,"*,"&amp;F21&amp;",*")+COUNTIF(E9:F9,F21)+COUNTIF(E9:F9,"*,"&amp;F21&amp;",*")+COUNTIF(H9:I9,F21)+COUNTIF(H9:I9,"*,"&amp;F21&amp;",*")+COUNTIF(K9:L9,F21)+COUNTIF(K9:L9,"*,"&amp;F21&amp;",*")+COUNTIF(N9:O9,F21)+COUNTIF(N9:O9,"*,"&amp;F21&amp;",*")+COUNTIF(B11:C11,F21)+COUNTIF(B11:C11,"*,"&amp;F21&amp;",*")+COUNTIF(E11:F11,F21)+COUNTIF(E11:F11,"*,"&amp;F21&amp;",*")+COUNTIF(H11:I11,F21)+COUNTIF(H11:I11,"*,"&amp;F21&amp;",*")+COUNTIF(K11:L11,F21)+COUNTIF(K11:L11,"*,"&amp;F21&amp;",*")+COUNTIF(N11:O11,F21)+COUNTIF(N11:O11,"*,"&amp;F21&amp;",*")+COUNTIF(B13:C13,F21)+COUNTIF(B13:C13,"*,"&amp;F21&amp;",*")+COUNTIF(E13:F13,F21)+COUNTIF(E13:F13,"*,"&amp;F21&amp;",*")+COUNTIF(H13:I13,F21)+COUNTIF(H13:I13,"*,"&amp;F21&amp;",*")+COUNTIF(K13:L13,F21)+COUNTIF(K13:L13,"*,"&amp;F21&amp;",*")+COUNTIF(N13:O13,F21)+COUNTIF(N13:O13,"*,"&amp;F21&amp;",*")+COUNTIF(B15:C15,F21)+COUNTIF(B15:C15,"*,"&amp;F21&amp;",*")+COUNTIF(E15:F15,F21)+COUNTIF(E15:F15,"*,"&amp;F21&amp;",*")+COUNTIF(H15:I15,F21)+COUNTIF(H15:I15,"*,"&amp;F21&amp;",*")+COUNTIF(K15:L15,F21)+COUNTIF(K15:L15,"*,"&amp;F21&amp;",*")+COUNTIF(N15:O15,F21)+COUNTIF(N15:O15,"*,"&amp;F21&amp;",*")+COUNTIF(B17:C17,F21)+COUNTIF(B17:C17,"*,"&amp;F21&amp;",*")+COUNTIF(E17:F17,F21)+COUNTIF(E17:F17,"*,"&amp;F21&amp;",*")+COUNTIF(H17:I17,F21)+COUNTIF(H17:I17,"*,"&amp;F21&amp;",*")+COUNTIF(K17:L17,F21)+COUNTIF(K17:L17,"*,"&amp;F21&amp;",*")+COUNTIF(N17:O17,F21)+COUNTIF(N17:O17,"*,"&amp;F21&amp;",*")=0,"",COUNTIF(B5:C5,F21)+COUNTIF(B5:C5,"*,"&amp;F21&amp;",*")+COUNTIF(E5:F5,F21)+COUNTIF(E5:F5,"*,"&amp;F21&amp;",*")+COUNTIF(H5:I5,F21)+COUNTIF(H5:I5,"*,"&amp;F21&amp;",*")+COUNTIF(K5:L5,F21)+COUNTIF(K5:L5,"*,"&amp;F21&amp;",*")+COUNTIF(N5:O5,F21)+COUNTIF(N5:O5,"*,"&amp;F21&amp;",*")+COUNTIF(B7:C7,F21)+COUNTIF(B7:C7,"*,"&amp;F21&amp;",*")+COUNTIF(E7:F7,F21)+COUNTIF(E7:F7,"*,"&amp;F21&amp;",*")+COUNTIF(H7:I7,F21)+COUNTIF(H7:I7,"*,"&amp;F21&amp;",*")+COUNTIF(K7:L7,F21)+COUNTIF(K7:L7,"*,"&amp;F21&amp;",*")+COUNTIF(N7:O7,F21)+COUNTIF(N7:O7,"*,"&amp;F21&amp;",*")+COUNTIF(B9:C9,F21)+COUNTIF(B9:C9,"*,"&amp;F21&amp;",*")+COUNTIF(E9:F9,F21)+COUNTIF(E9:F9,"*,"&amp;F21&amp;",*")+COUNTIF(H9:I9,F21)+COUNTIF(H9:I9,"*,"&amp;F21&amp;",*")+COUNTIF(K9:L9,F21)+COUNTIF(K9:L9,"*,"&amp;F21&amp;",*")+COUNTIF(N9:O9,F21)+COUNTIF(N9:O9,"*,"&amp;F21&amp;",*")+COUNTIF(B11:C11,F21)+COUNTIF(B11:C11,"*,"&amp;F21&amp;",*")+COUNTIF(E11:F11,F21)+COUNTIF(E11:F11,"*,"&amp;F21&amp;",*")+COUNTIF(H11:I11,F21)+COUNTIF(H11:I11,"*,"&amp;F21&amp;",*")+COUNTIF(K11:L11,F21)+COUNTIF(K11:L11,"*,"&amp;F21&amp;",*")+COUNTIF(N11:O11,F21)+COUNTIF(N11:O11,"*,"&amp;F21&amp;",*")+COUNTIF(B13:C13,F21)+COUNTIF(B13:C13,"*,"&amp;F21&amp;",*")+COUNTIF(E13:F13,F21)+COUNTIF(E13:F13,"*,"&amp;F21&amp;",*")+COUNTIF(H13:I13,F21)+COUNTIF(H13:I13,"*,"&amp;F21&amp;",*")+COUNTIF(K13:L13,F21)+COUNTIF(K13:L13,"*,"&amp;F21&amp;",*")+COUNTIF(N13:O13,F21)+COUNTIF(N13:O13,"*,"&amp;F21&amp;",*")+COUNTIF(B15:C15,F21)+COUNTIF(B15:C15,"*,"&amp;F21&amp;",*")+COUNTIF(E15:F15,F21)+COUNTIF(E15:F15,"*,"&amp;F21&amp;",*")+COUNTIF(H15:I15,F21)+COUNTIF(H15:I15,"*,"&amp;F21&amp;",*")+COUNTIF(K15:L15,F21)+COUNTIF(K15:L15,"*,"&amp;F21&amp;",*")+COUNTIF(N15:O15,F21)+COUNTIF(N15:O15,"*,"&amp;F21&amp;",*")+COUNTIF(B17:C17,F21)+COUNTIF(B17:C17,"*,"&amp;F21&amp;",*")+COUNTIF(E17:F17,F21)+COUNTIF(E17:F17,"*,"&amp;F21&amp;",*")+COUNTIF(H17:I17,F21)+COUNTIF(H17:I17,"*,"&amp;F21&amp;",*")+COUNTIF(K17:L17,F21)+COUNTIF(K17:L17,"*,"&amp;F21&amp;",*")+COUNTIF(N17:O17,F21)+COUNTIF(N17:O17,"*,"&amp;F21&amp;",*")))</f>
        <v/>
      </c>
      <c r="G24" s="21">
        <f>IF(G21="","",IF(COUNTIF(B5:C5,G21)+COUNTIF(B5:C5,"*,"&amp;G21&amp;",*")+COUNTIF(E5:F5,G21)+COUNTIF(E5:F5,"*,"&amp;G21&amp;",*")+COUNTIF(H5:I5,G21)+COUNTIF(H5:I5,"*,"&amp;G21&amp;",*")+COUNTIF(K5:L5,G21)+COUNTIF(K5:L5,"*,"&amp;G21&amp;",*")+COUNTIF(N5:O5,G21)+COUNTIF(N5:O5,"*,"&amp;G21&amp;",*")+COUNTIF(B7:C7,G21)+COUNTIF(B7:C7,"*,"&amp;G21&amp;",*")+COUNTIF(E7:F7,G21)+COUNTIF(E7:F7,"*,"&amp;G21&amp;",*")+COUNTIF(H7:I7,G21)+COUNTIF(H7:I7,"*,"&amp;G21&amp;",*")+COUNTIF(K7:L7,G21)+COUNTIF(K7:L7,"*,"&amp;G21&amp;",*")+COUNTIF(N7:O7,G21)+COUNTIF(N7:O7,"*,"&amp;G21&amp;",*")+COUNTIF(B9:C9,G21)+COUNTIF(B9:C9,"*,"&amp;G21&amp;",*")+COUNTIF(E9:F9,G21)+COUNTIF(E9:F9,"*,"&amp;G21&amp;",*")+COUNTIF(H9:I9,G21)+COUNTIF(H9:I9,"*,"&amp;G21&amp;",*")+COUNTIF(K9:L9,G21)+COUNTIF(K9:L9,"*,"&amp;G21&amp;",*")+COUNTIF(N9:O9,G21)+COUNTIF(N9:O9,"*,"&amp;G21&amp;",*")+COUNTIF(B11:C11,G21)+COUNTIF(B11:C11,"*,"&amp;G21&amp;",*")+COUNTIF(E11:F11,G21)+COUNTIF(E11:F11,"*,"&amp;G21&amp;",*")+COUNTIF(H11:I11,G21)+COUNTIF(H11:I11,"*,"&amp;G21&amp;",*")+COUNTIF(K11:L11,G21)+COUNTIF(K11:L11,"*,"&amp;G21&amp;",*")+COUNTIF(N11:O11,G21)+COUNTIF(N11:O11,"*,"&amp;G21&amp;",*")+COUNTIF(B13:C13,G21)+COUNTIF(B13:C13,"*,"&amp;G21&amp;",*")+COUNTIF(E13:F13,G21)+COUNTIF(E13:F13,"*,"&amp;G21&amp;",*")+COUNTIF(H13:I13,G21)+COUNTIF(H13:I13,"*,"&amp;G21&amp;",*")+COUNTIF(K13:L13,G21)+COUNTIF(K13:L13,"*,"&amp;G21&amp;",*")+COUNTIF(N13:O13,G21)+COUNTIF(N13:O13,"*,"&amp;G21&amp;",*")+COUNTIF(B15:C15,G21)+COUNTIF(B15:C15,"*,"&amp;G21&amp;",*")+COUNTIF(E15:F15,G21)+COUNTIF(E15:F15,"*,"&amp;G21&amp;",*")+COUNTIF(H15:I15,G21)+COUNTIF(H15:I15,"*,"&amp;G21&amp;",*")+COUNTIF(K15:L15,G21)+COUNTIF(K15:L15,"*,"&amp;G21&amp;",*")+COUNTIF(N15:O15,G21)+COUNTIF(N15:O15,"*,"&amp;G21&amp;",*")+COUNTIF(B17:C17,G21)+COUNTIF(B17:C17,"*,"&amp;G21&amp;",*")+COUNTIF(E17:F17,G21)+COUNTIF(E17:F17,"*,"&amp;G21&amp;",*")+COUNTIF(H17:I17,G21)+COUNTIF(H17:I17,"*,"&amp;G21&amp;",*")+COUNTIF(K17:L17,G21)+COUNTIF(K17:L17,"*,"&amp;G21&amp;",*")+COUNTIF(N17:O17,G21)+COUNTIF(N17:O17,"*,"&amp;G21&amp;",*")=0,"",COUNTIF(B5:C5,G21)+COUNTIF(B5:C5,"*,"&amp;G21&amp;",*")+COUNTIF(E5:F5,G21)+COUNTIF(E5:F5,"*,"&amp;G21&amp;",*")+COUNTIF(H5:I5,G21)+COUNTIF(H5:I5,"*,"&amp;G21&amp;",*")+COUNTIF(K5:L5,G21)+COUNTIF(K5:L5,"*,"&amp;G21&amp;",*")+COUNTIF(N5:O5,G21)+COUNTIF(N5:O5,"*,"&amp;G21&amp;",*")+COUNTIF(B7:C7,G21)+COUNTIF(B7:C7,"*,"&amp;G21&amp;",*")+COUNTIF(E7:F7,G21)+COUNTIF(E7:F7,"*,"&amp;G21&amp;",*")+COUNTIF(H7:I7,G21)+COUNTIF(H7:I7,"*,"&amp;G21&amp;",*")+COUNTIF(K7:L7,G21)+COUNTIF(K7:L7,"*,"&amp;G21&amp;",*")+COUNTIF(N7:O7,G21)+COUNTIF(N7:O7,"*,"&amp;G21&amp;",*")+COUNTIF(B9:C9,G21)+COUNTIF(B9:C9,"*,"&amp;G21&amp;",*")+COUNTIF(E9:F9,G21)+COUNTIF(E9:F9,"*,"&amp;G21&amp;",*")+COUNTIF(H9:I9,G21)+COUNTIF(H9:I9,"*,"&amp;G21&amp;",*")+COUNTIF(K9:L9,G21)+COUNTIF(K9:L9,"*,"&amp;G21&amp;",*")+COUNTIF(N9:O9,G21)+COUNTIF(N9:O9,"*,"&amp;G21&amp;",*")+COUNTIF(B11:C11,G21)+COUNTIF(B11:C11,"*,"&amp;G21&amp;",*")+COUNTIF(E11:F11,G21)+COUNTIF(E11:F11,"*,"&amp;G21&amp;",*")+COUNTIF(H11:I11,G21)+COUNTIF(H11:I11,"*,"&amp;G21&amp;",*")+COUNTIF(K11:L11,G21)+COUNTIF(K11:L11,"*,"&amp;G21&amp;",*")+COUNTIF(N11:O11,G21)+COUNTIF(N11:O11,"*,"&amp;G21&amp;",*")+COUNTIF(B13:C13,G21)+COUNTIF(B13:C13,"*,"&amp;G21&amp;",*")+COUNTIF(E13:F13,G21)+COUNTIF(E13:F13,"*,"&amp;G21&amp;",*")+COUNTIF(H13:I13,G21)+COUNTIF(H13:I13,"*,"&amp;G21&amp;",*")+COUNTIF(K13:L13,G21)+COUNTIF(K13:L13,"*,"&amp;G21&amp;",*")+COUNTIF(N13:O13,G21)+COUNTIF(N13:O13,"*,"&amp;G21&amp;",*")+COUNTIF(B15:C15,G21)+COUNTIF(B15:C15,"*,"&amp;G21&amp;",*")+COUNTIF(E15:F15,G21)+COUNTIF(E15:F15,"*,"&amp;G21&amp;",*")+COUNTIF(H15:I15,G21)+COUNTIF(H15:I15,"*,"&amp;G21&amp;",*")+COUNTIF(K15:L15,G21)+COUNTIF(K15:L15,"*,"&amp;G21&amp;",*")+COUNTIF(N15:O15,G21)+COUNTIF(N15:O15,"*,"&amp;G21&amp;",*")+COUNTIF(B17:C17,G21)+COUNTIF(B17:C17,"*,"&amp;G21&amp;",*")+COUNTIF(E17:F17,G21)+COUNTIF(E17:F17,"*,"&amp;G21&amp;",*")+COUNTIF(H17:I17,G21)+COUNTIF(H17:I17,"*,"&amp;G21&amp;",*")+COUNTIF(K17:L17,G21)+COUNTIF(K17:L17,"*,"&amp;G21&amp;",*")+COUNTIF(N17:O17,G21)+COUNTIF(N17:O17,"*,"&amp;G21&amp;",*")))</f>
        <v/>
      </c>
      <c r="H24" s="21"/>
      <c r="I24" s="21"/>
      <c r="J24" s="21"/>
      <c r="K24" s="21"/>
      <c r="L24" s="21"/>
      <c r="M24" s="21">
        <f>IF(COUNTIF(B5:C5,"特活")+COUNTIF(B5:C5,"学活")+COUNTIF(E5:F5,"特活")+COUNTIF(E5:F5,"学活")+COUNTIF(H5:I5,"特活")+COUNTIF(H5:I5,"学活")+COUNTIF(K5:L5,"特活")+COUNTIF(K5:L5,"学活")+COUNTIF(N5:O5,"特活")+COUNTIF(N5:O5,"学活")+COUNTIF(B7:C7,"特活")+COUNTIF(B7:C7,"学活")+COUNTIF(E7:F7,"特活")+COUNTIF(E7:F7,"学活")+COUNTIF(H7:I7,"特活")+COUNTIF(H7:I7,"学活")+COUNTIF(K7:L7,"特活")+COUNTIF(K7:L7,"学活")+COUNTIF(N7:O7,"特活")+COUNTIF(N7:O7,"学活")+COUNTIF(B9:C9,"特活")+COUNTIF(B9:C9,"学活")+COUNTIF(E9:F9,"特活")+COUNTIF(E9:F9,"学活")+COUNTIF(H9:I9,"特活")+COUNTIF(H9:I9,"学活")+COUNTIF(K9:L9,"特活")+COUNTIF(K9:L9,"学活")+COUNTIF(N9:O9,"特活")+COUNTIF(N9:O9,"学活")+COUNTIF(B11:C11,"特活")+COUNTIF(B11:C11,"学活")+COUNTIF(E11:F11,"特活")+COUNTIF(E11:F11,"学活")+COUNTIF(H11:I11,"特活")+COUNTIF(H11:I11,"学活")+COUNTIF(K11:L11,"特活")+COUNTIF(K11:L11,"学活")+COUNTIF(N11:O11,"特活")+COUNTIF(N11:O11,"学活")+COUNTIF(B13:C13,"特活")+COUNTIF(B13:C13,"学活")+COUNTIF(E13:F13,"特活")+COUNTIF(E13:F13,"学活")+COUNTIF(H13:I13,"特活")+COUNTIF(H13:I13,"学活")+COUNTIF(K13:L13,"特活")+COUNTIF(K13:L13,"学活")+COUNTIF(N13:O13,"特活")+COUNTIF(N13:O13,"学活")+COUNTIF(B15:C15,"特活")+COUNTIF(B15:C15,"学活")+COUNTIF(E15:F15,"特活")+COUNTIF(E15:F15,"学活")+COUNTIF(H15:I15,"特活")+COUNTIF(H15:I15,"学活")+COUNTIF(K15:L15,"特活")+COUNTIF(K15:L15,"学活")+COUNTIF(N15:O15,"特活")+COUNTIF(N15:O15,"学活")+COUNTIF(B17:C17,"特活")+COUNTIF(B17:C17,"学活")+COUNTIF(E17:F17,"特活")+COUNTIF(E17:F17,"学活")+COUNTIF(H17:I17,"特活")+COUNTIF(H17:I17,"学活")+COUNTIF(K17:L17,"特活")+COUNTIF(K17:L17,"学活")+COUNTIF(N17:O17,"特活")+COUNTIF(N17:O17,"学活")=0,"",COUNTIF(B5:C5,"特活")+COUNTIF(B5:C5,"学活")+COUNTIF(E5:F5,"特活")+COUNTIF(E5:F5,"学活")+COUNTIF(H5:I5,"特活")+COUNTIF(H5:I5,"学活")+COUNTIF(K5:L5,"特活")+COUNTIF(K5:L5,"学活")+COUNTIF(N5:O5,"特活")+COUNTIF(N5:O5,"学活")+COUNTIF(B7:C7,"特活")+COUNTIF(B7:C7,"学活")+COUNTIF(E7:F7,"特活")+COUNTIF(E7:F7,"学活")+COUNTIF(H7:I7,"特活")+COUNTIF(H7:I7,"学活")+COUNTIF(K7:L7,"特活")+COUNTIF(K7:L7,"学活")+COUNTIF(N7:O7,"特活")+COUNTIF(N7:O7,"学活")+COUNTIF(B9:C9,"特活")+COUNTIF(B9:C9,"学活")+COUNTIF(E9:F9,"特活")+COUNTIF(E9:F9,"学活")+COUNTIF(H9:I9,"特活")+COUNTIF(H9:I9,"学活")+COUNTIF(K9:L9,"特活")+COUNTIF(K9:L9,"学活")+COUNTIF(N9:O9,"特活")+COUNTIF(N9:O9,"学活")+COUNTIF(B11:C11,"特活")+COUNTIF(B11:C11,"学活")+COUNTIF(E11:F11,"特活")+COUNTIF(E11:F11,"学活")+COUNTIF(H11:I11,"特活")+COUNTIF(H11:I11,"学活")+COUNTIF(K11:L11,"特活")+COUNTIF(K11:L11,"学活")+COUNTIF(N11:O11,"特活")+COUNTIF(N11:O11,"学活")+COUNTIF(B13:C13,"特活")+COUNTIF(B13:C13,"学活")+COUNTIF(E13:F13,"特活")+COUNTIF(E13:F13,"学活")+COUNTIF(H13:I13,"特活")+COUNTIF(H13:I13,"学活")+COUNTIF(K13:L13,"特活")+COUNTIF(K13:L13,"学活")+COUNTIF(N13:O13,"特活")+COUNTIF(N13:O13,"学活")+COUNTIF(B15:C15,"特活")+COUNTIF(B15:C15,"学活")+COUNTIF(E15:F15,"特活")+COUNTIF(E15:F15,"学活")+COUNTIF(H15:I15,"特活")+COUNTIF(H15:I15,"学活")+COUNTIF(K15:L15,"特活")+COUNTIF(K15:L15,"学活")+COUNTIF(N15:O15,"特活")+COUNTIF(N15:O15,"学活")+COUNTIF(B17:C17,"特活")+COUNTIF(B17:C17,"学活")+COUNTIF(E17:F17,"特活")+COUNTIF(E17:F17,"学活")+COUNTIF(H17:I17,"特活")+COUNTIF(H17:I17,"学活")+COUNTIF(K17:L17,"特活")+COUNTIF(K17:L17,"学活")+COUNTIF(N17:O17,"特活")+COUNTIF(N17:O17,"学活"))</f>
        <v/>
      </c>
      <c r="N24" s="21">
        <f>IF(COUNTIF(B5:C5,N21)+COUNTIF(B5:C5,"*,"&amp;N21&amp;",*")+COUNTIF(E5:F5,N21)+COUNTIF(E5:F5,"*,"&amp;N21&amp;",*")+COUNTIF(H5:I5,N21)+COUNTIF(H5:I5,"*,"&amp;N21&amp;",*")+COUNTIF(K5:L5,N21)+COUNTIF(K5:L5,"*,"&amp;N21&amp;",*")+COUNTIF(N5:O5,N21)+COUNTIF(N5:O5,"*,"&amp;N21&amp;",*")+COUNTIF(B7:C7,N21)+COUNTIF(B7:C7,"*,"&amp;N21&amp;",*")+COUNTIF(E7:F7,N21)+COUNTIF(E7:F7,"*,"&amp;N21&amp;",*")+COUNTIF(H7:I7,N21)+COUNTIF(H7:I7,"*,"&amp;N21&amp;",*")+COUNTIF(K7:L7,N21)+COUNTIF(K7:L7,"*,"&amp;N21&amp;",*")+COUNTIF(N7:O7,N21)+COUNTIF(N7:O7,"*,"&amp;N21&amp;",*")+COUNTIF(B9:C9,N21)+COUNTIF(B9:C9,"*,"&amp;N21&amp;",*")+COUNTIF(E9:F9,N21)+COUNTIF(E9:F9,"*,"&amp;N21&amp;",*")+COUNTIF(H9:I9,N21)+COUNTIF(H9:I9,"*,"&amp;N21&amp;",*")+COUNTIF(K9:L9,N21)+COUNTIF(K9:L9,"*,"&amp;N21&amp;",*")+COUNTIF(N9:O9,N21)+COUNTIF(N9:O9,"*,"&amp;N21&amp;",*")+COUNTIF(B11:C11,N21)+COUNTIF(B11:C11,"*,"&amp;N21&amp;",*")+COUNTIF(E11:F11,N21)+COUNTIF(E11:F11,"*,"&amp;N21&amp;",*")+COUNTIF(H11:I11,N21)+COUNTIF(H11:I11,"*,"&amp;N21&amp;",*")+COUNTIF(K11:L11,N21)+COUNTIF(K11:L11,"*,"&amp;N21&amp;",*")+COUNTIF(N11:O11,N21)+COUNTIF(N11:O11,"*,"&amp;N21&amp;",*")+COUNTIF(B13:C13,N21)+COUNTIF(B13:C13,"*,"&amp;N21&amp;",*")+COUNTIF(E13:F13,N21)+COUNTIF(E13:F13,"*,"&amp;N21&amp;",*")+COUNTIF(H13:I13,N21)+COUNTIF(H13:I13,"*,"&amp;N21&amp;",*")+COUNTIF(K13:L13,N21)+COUNTIF(K13:L13,"*,"&amp;N21&amp;",*")+COUNTIF(N13:O13,N21)+COUNTIF(N13:O13,"*,"&amp;N21&amp;",*")+COUNTIF(B15:C15,N21)+COUNTIF(B15:C15,"*,"&amp;N21&amp;",*")+COUNTIF(E15:F15,N21)+COUNTIF(E15:F15,"*,"&amp;N21&amp;",*")+COUNTIF(H15:I15,N21)+COUNTIF(H15:I15,"*,"&amp;N21&amp;",*")+COUNTIF(K15:L15,N21)+COUNTIF(K15:L15,"*,"&amp;N21&amp;",*")+COUNTIF(N15:O15,N21)+COUNTIF(N15:O15,"*,"&amp;N21&amp;",*")+COUNTIF(B17:C17,N21)+COUNTIF(B17:C17,"*,"&amp;N21&amp;",*")+COUNTIF(E17:F17,N21)+COUNTIF(E17:F17,"*,"&amp;N21&amp;",*")+COUNTIF(H17:I17,N21)+COUNTIF(H17:I17,"*,"&amp;N21&amp;",*")+COUNTIF(K17:L17,N21)+COUNTIF(K17:L17,"*,"&amp;N21&amp;",*")+COUNTIF(N17:O17,N21)+COUNTIF(N17:O17,"*,"&amp;N21&amp;",*")=0,"",COUNTIF(B5:C5,N21)+COUNTIF(B5:C5,"*,"&amp;N21&amp;",*")+COUNTIF(E5:F5,N21)+COUNTIF(E5:F5,"*,"&amp;N21&amp;",*")+COUNTIF(H5:I5,N21)+COUNTIF(H5:I5,"*,"&amp;N21&amp;",*")+COUNTIF(K5:L5,N21)+COUNTIF(K5:L5,"*,"&amp;N21&amp;",*")+COUNTIF(N5:O5,N21)+COUNTIF(N5:O5,"*,"&amp;N21&amp;",*")+COUNTIF(B7:C7,N21)+COUNTIF(B7:C7,"*,"&amp;N21&amp;",*")+COUNTIF(E7:F7,N21)+COUNTIF(E7:F7,"*,"&amp;N21&amp;",*")+COUNTIF(H7:I7,N21)+COUNTIF(H7:I7,"*,"&amp;N21&amp;",*")+COUNTIF(K7:L7,N21)+COUNTIF(K7:L7,"*,"&amp;N21&amp;",*")+COUNTIF(N7:O7,N21)+COUNTIF(N7:O7,"*,"&amp;N21&amp;",*")+COUNTIF(B9:C9,N21)+COUNTIF(B9:C9,"*,"&amp;N21&amp;",*")+COUNTIF(E9:F9,N21)+COUNTIF(E9:F9,"*,"&amp;N21&amp;",*")+COUNTIF(H9:I9,N21)+COUNTIF(H9:I9,"*,"&amp;N21&amp;",*")+COUNTIF(K9:L9,N21)+COUNTIF(K9:L9,"*,"&amp;N21&amp;",*")+COUNTIF(N9:O9,N21)+COUNTIF(N9:O9,"*,"&amp;N21&amp;",*")+COUNTIF(B11:C11,N21)+COUNTIF(B11:C11,"*,"&amp;N21&amp;",*")+COUNTIF(E11:F11,N21)+COUNTIF(E11:F11,"*,"&amp;N21&amp;",*")+COUNTIF(H11:I11,N21)+COUNTIF(H11:I11,"*,"&amp;N21&amp;",*")+COUNTIF(K11:L11,N21)+COUNTIF(K11:L11,"*,"&amp;N21&amp;",*")+COUNTIF(N11:O11,N21)+COUNTIF(N11:O11,"*,"&amp;N21&amp;",*")+COUNTIF(B13:C13,N21)+COUNTIF(B13:C13,"*,"&amp;N21&amp;",*")+COUNTIF(E13:F13,N21)+COUNTIF(E13:F13,"*,"&amp;N21&amp;",*")+COUNTIF(H13:I13,N21)+COUNTIF(H13:I13,"*,"&amp;N21&amp;",*")+COUNTIF(K13:L13,N21)+COUNTIF(K13:L13,"*,"&amp;N21&amp;",*")+COUNTIF(N13:O13,N21)+COUNTIF(N13:O13,"*,"&amp;N21&amp;",*")+COUNTIF(B15:C15,N21)+COUNTIF(B15:C15,"*,"&amp;N21&amp;",*")+COUNTIF(E15:F15,N21)+COUNTIF(E15:F15,"*,"&amp;N21&amp;",*")+COUNTIF(H15:I15,N21)+COUNTIF(H15:I15,"*,"&amp;N21&amp;",*")+COUNTIF(K15:L15,N21)+COUNTIF(K15:L15,"*,"&amp;N21&amp;",*")+COUNTIF(N15:O15,N21)+COUNTIF(N15:O15,"*,"&amp;N21&amp;",*")+COUNTIF(B17:C17,N21)+COUNTIF(B17:C17,"*,"&amp;N21&amp;",*")+COUNTIF(E17:F17,N21)+COUNTIF(E17:F17,"*,"&amp;N21&amp;",*")+COUNTIF(H17:I17,N21)+COUNTIF(H17:I17,"*,"&amp;N21&amp;",*")+COUNTIF(K17:L17,N21)+COUNTIF(K17:L17,"*,"&amp;N21&amp;",*")+COUNTIF(N17:O17,N21)+COUNTIF(N17:O17,"*,"&amp;N21&amp;",*"))</f>
        <v/>
      </c>
      <c r="O24" s="21">
        <f>IF(COUNTIF(B5:C5,O21)+COUNTIF(B5:C5,"*,"&amp;O21&amp;",*")+COUNTIF(E5:F5,O21)+COUNTIF(E5:F5,"*,"&amp;O21&amp;",*")+COUNTIF(H5:I5,O21)+COUNTIF(H5:I5,"*,"&amp;O21&amp;",*")+COUNTIF(K5:L5,O21)+COUNTIF(K5:L5,"*,"&amp;O21&amp;",*")+COUNTIF(N5:O5,O21)+COUNTIF(N5:O5,"*,"&amp;O21&amp;",*")+COUNTIF(B7:C7,O21)+COUNTIF(B7:C7,"*,"&amp;O21&amp;",*")+COUNTIF(E7:F7,O21)+COUNTIF(E7:F7,"*,"&amp;O21&amp;",*")+COUNTIF(H7:I7,O21)+COUNTIF(H7:I7,"*,"&amp;O21&amp;",*")+COUNTIF(K7:L7,O21)+COUNTIF(K7:L7,"*,"&amp;O21&amp;",*")+COUNTIF(N7:O7,O21)+COUNTIF(N7:O7,"*,"&amp;O21&amp;",*")+COUNTIF(B9:C9,O21)+COUNTIF(B9:C9,"*,"&amp;O21&amp;",*")+COUNTIF(E9:F9,O21)+COUNTIF(E9:F9,"*,"&amp;O21&amp;",*")+COUNTIF(H9:I9,O21)+COUNTIF(H9:I9,"*,"&amp;O21&amp;",*")+COUNTIF(K9:L9,O21)+COUNTIF(K9:L9,"*,"&amp;O21&amp;",*")+COUNTIF(N9:O9,O21)+COUNTIF(N9:O9,"*,"&amp;O21&amp;",*")+COUNTIF(B11:C11,O21)+COUNTIF(B11:C11,"*,"&amp;O21&amp;",*")+COUNTIF(E11:F11,O21)+COUNTIF(E11:F11,"*,"&amp;O21&amp;",*")+COUNTIF(H11:I11,O21)+COUNTIF(H11:I11,"*,"&amp;O21&amp;",*")+COUNTIF(K11:L11,O21)+COUNTIF(K11:L11,"*,"&amp;O21&amp;",*")+COUNTIF(N11:O11,O21)+COUNTIF(N11:O11,"*,"&amp;O21&amp;",*")+COUNTIF(B13:C13,O21)+COUNTIF(B13:C13,"*,"&amp;O21&amp;",*")+COUNTIF(E13:F13,O21)+COUNTIF(E13:F13,"*,"&amp;O21&amp;",*")+COUNTIF(H13:I13,O21)+COUNTIF(H13:I13,"*,"&amp;O21&amp;",*")+COUNTIF(K13:L13,O21)+COUNTIF(K13:L13,"*,"&amp;O21&amp;",*")+COUNTIF(N13:O13,O21)+COUNTIF(N13:O13,"*,"&amp;O21&amp;",*")+COUNTIF(B15:C15,O21)+COUNTIF(B15:C15,"*,"&amp;O21&amp;",*")+COUNTIF(E15:F15,O21)+COUNTIF(E15:F15,"*,"&amp;O21&amp;",*")+COUNTIF(H15:I15,O21)+COUNTIF(H15:I15,"*,"&amp;O21&amp;",*")+COUNTIF(K15:L15,O21)+COUNTIF(K15:L15,"*,"&amp;O21&amp;",*")+COUNTIF(N15:O15,O21)+COUNTIF(N15:O15,"*,"&amp;O21&amp;",*")+COUNTIF(B17:C17,O21)+COUNTIF(B17:C17,"*,"&amp;O21&amp;",*")+COUNTIF(E17:F17,O21)+COUNTIF(E17:F17,"*,"&amp;O21&amp;",*")+COUNTIF(H17:I17,O21)+COUNTIF(H17:I17,"*,"&amp;O21&amp;",*")+COUNTIF(K17:L17,O21)+COUNTIF(K17:L17,"*,"&amp;O21&amp;",*")+COUNTIF(N17:O17,O21)+COUNTIF(N17:O17,"*,"&amp;O21&amp;",*")=0,"",COUNTIF(B5:C5,O21)+COUNTIF(B5:C5,"*,"&amp;O21&amp;",*")+COUNTIF(E5:F5,O21)+COUNTIF(E5:F5,"*,"&amp;O21&amp;",*")+COUNTIF(H5:I5,O21)+COUNTIF(H5:I5,"*,"&amp;O21&amp;",*")+COUNTIF(K5:L5,O21)+COUNTIF(K5:L5,"*,"&amp;O21&amp;",*")+COUNTIF(N5:O5,O21)+COUNTIF(N5:O5,"*,"&amp;O21&amp;",*")+COUNTIF(B7:C7,O21)+COUNTIF(B7:C7,"*,"&amp;O21&amp;",*")+COUNTIF(E7:F7,O21)+COUNTIF(E7:F7,"*,"&amp;O21&amp;",*")+COUNTIF(H7:I7,O21)+COUNTIF(H7:I7,"*,"&amp;O21&amp;",*")+COUNTIF(K7:L7,O21)+COUNTIF(K7:L7,"*,"&amp;O21&amp;",*")+COUNTIF(N7:O7,O21)+COUNTIF(N7:O7,"*,"&amp;O21&amp;",*")+COUNTIF(B9:C9,O21)+COUNTIF(B9:C9,"*,"&amp;O21&amp;",*")+COUNTIF(E9:F9,O21)+COUNTIF(E9:F9,"*,"&amp;O21&amp;",*")+COUNTIF(H9:I9,O21)+COUNTIF(H9:I9,"*,"&amp;O21&amp;",*")+COUNTIF(K9:L9,O21)+COUNTIF(K9:L9,"*,"&amp;O21&amp;",*")+COUNTIF(N9:O9,O21)+COUNTIF(N9:O9,"*,"&amp;O21&amp;",*")+COUNTIF(B11:C11,O21)+COUNTIF(B11:C11,"*,"&amp;O21&amp;",*")+COUNTIF(E11:F11,O21)+COUNTIF(E11:F11,"*,"&amp;O21&amp;",*")+COUNTIF(H11:I11,O21)+COUNTIF(H11:I11,"*,"&amp;O21&amp;",*")+COUNTIF(K11:L11,O21)+COUNTIF(K11:L11,"*,"&amp;O21&amp;",*")+COUNTIF(N11:O11,O21)+COUNTIF(N11:O11,"*,"&amp;O21&amp;",*")+COUNTIF(B13:C13,O21)+COUNTIF(B13:C13,"*,"&amp;O21&amp;",*")+COUNTIF(E13:F13,O21)+COUNTIF(E13:F13,"*,"&amp;O21&amp;",*")+COUNTIF(H13:I13,O21)+COUNTIF(H13:I13,"*,"&amp;O21&amp;",*")+COUNTIF(K13:L13,O21)+COUNTIF(K13:L13,"*,"&amp;O21&amp;",*")+COUNTIF(N13:O13,O21)+COUNTIF(N13:O13,"*,"&amp;O21&amp;",*")+COUNTIF(B15:C15,O21)+COUNTIF(B15:C15,"*,"&amp;O21&amp;",*")+COUNTIF(E15:F15,O21)+COUNTIF(E15:F15,"*,"&amp;O21&amp;",*")+COUNTIF(H15:I15,O21)+COUNTIF(H15:I15,"*,"&amp;O21&amp;",*")+COUNTIF(K15:L15,O21)+COUNTIF(K15:L15,"*,"&amp;O21&amp;",*")+COUNTIF(N15:O15,O21)+COUNTIF(N15:O15,"*,"&amp;O21&amp;",*")+COUNTIF(B17:C17,O21)+COUNTIF(B17:C17,"*,"&amp;O21&amp;",*")+COUNTIF(E17:F17,O21)+COUNTIF(E17:F17,"*,"&amp;O21&amp;",*")+COUNTIF(H17:I17,O21)+COUNTIF(H17:I17,"*,"&amp;O21&amp;",*")+COUNTIF(K17:L17,O21)+COUNTIF(K17:L17,"*,"&amp;O21&amp;",*")+COUNTIF(N17:O17,O21)+COUNTIF(N17:O17,"*,"&amp;O21&amp;",*"))</f>
        <v/>
      </c>
      <c r="P24" s="22">
        <f>IF(SUM(B24:O24)=0,"",SUM(B24:O24))</f>
        <v/>
      </c>
    </row>
    <row r="25" spans="1:16" ht="13.5" customHeight="1" x14ac:dyDescent="0.2">
      <c r="A25" s="23" t="s">
        <v>52</v>
      </c>
      <c r="B25" s="26"/>
      <c r="C25" s="26"/>
      <c r="D25" s="26"/>
      <c r="E25" s="26"/>
      <c r="F25" s="26"/>
      <c r="G25" s="26"/>
      <c r="H25" s="26"/>
      <c r="I25" s="26"/>
      <c r="J25" s="26"/>
      <c r="K25" s="26"/>
      <c r="L25" s="26"/>
      <c r="M25" s="26"/>
      <c r="N25" s="26"/>
      <c r="O25" s="24"/>
      <c r="P25" s="18">
        <f>IF(SUM(B25:O25)=0,"",SUM(B25:O25))</f>
        <v/>
      </c>
    </row>
  </sheetData>
  <sheetProtection sheet="1" objects="1" scenarios="1"/>
  <mergeCells count="104">
    <mergeCell ref="N19:P19"/>
    <mergeCell ref="A23:A24"/>
    <mergeCell ref="N17:O17"/>
    <mergeCell ref="B18:D18"/>
    <mergeCell ref="E18:G18"/>
    <mergeCell ref="H18:J18"/>
    <mergeCell ref="K18:M18"/>
    <mergeCell ref="N18:P18"/>
    <mergeCell ref="A17:A18"/>
    <mergeCell ref="B17:C17"/>
    <mergeCell ref="E17:F17"/>
    <mergeCell ref="H17:I17"/>
    <mergeCell ref="K17:L17"/>
    <mergeCell ref="B19:D19"/>
    <mergeCell ref="E19:G19"/>
    <mergeCell ref="H19:J19"/>
    <mergeCell ref="K19:M19"/>
    <mergeCell ref="A15:A16"/>
    <mergeCell ref="B15:C15"/>
    <mergeCell ref="E15:F15"/>
    <mergeCell ref="H15:I15"/>
    <mergeCell ref="K15:L15"/>
    <mergeCell ref="N15:O15"/>
    <mergeCell ref="B16:D16"/>
    <mergeCell ref="E16:G16"/>
    <mergeCell ref="H16:J16"/>
    <mergeCell ref="K16:M16"/>
    <mergeCell ref="N16:P16"/>
    <mergeCell ref="A13:A14"/>
    <mergeCell ref="B13:C13"/>
    <mergeCell ref="E13:F13"/>
    <mergeCell ref="H13:I13"/>
    <mergeCell ref="K13:L13"/>
    <mergeCell ref="N13:O13"/>
    <mergeCell ref="B14:D14"/>
    <mergeCell ref="E14:G14"/>
    <mergeCell ref="H14:J14"/>
    <mergeCell ref="K14:M14"/>
    <mergeCell ref="N14:P14"/>
    <mergeCell ref="A11:A12"/>
    <mergeCell ref="B11:C11"/>
    <mergeCell ref="E11:F11"/>
    <mergeCell ref="H11:I11"/>
    <mergeCell ref="K11:L11"/>
    <mergeCell ref="N11:O11"/>
    <mergeCell ref="B12:D12"/>
    <mergeCell ref="E12:G12"/>
    <mergeCell ref="H12:J12"/>
    <mergeCell ref="K12:M12"/>
    <mergeCell ref="N12:P12"/>
    <mergeCell ref="N8:P8"/>
    <mergeCell ref="A9:A10"/>
    <mergeCell ref="B9:C9"/>
    <mergeCell ref="E9:F9"/>
    <mergeCell ref="H9:I9"/>
    <mergeCell ref="K9:L9"/>
    <mergeCell ref="N9:O9"/>
    <mergeCell ref="B10:D10"/>
    <mergeCell ref="E10:G10"/>
    <mergeCell ref="H10:J10"/>
    <mergeCell ref="A7:A8"/>
    <mergeCell ref="B7:C7"/>
    <mergeCell ref="E7:F7"/>
    <mergeCell ref="H7:I7"/>
    <mergeCell ref="K7:L7"/>
    <mergeCell ref="N7:O7"/>
    <mergeCell ref="B8:D8"/>
    <mergeCell ref="E8:G8"/>
    <mergeCell ref="H8:J8"/>
    <mergeCell ref="K8:M8"/>
    <mergeCell ref="K10:M10"/>
    <mergeCell ref="N10:P10"/>
    <mergeCell ref="A5:A6"/>
    <mergeCell ref="B5:C5"/>
    <mergeCell ref="E5:F5"/>
    <mergeCell ref="H5:I5"/>
    <mergeCell ref="K5:L5"/>
    <mergeCell ref="N2:P2"/>
    <mergeCell ref="B3:D3"/>
    <mergeCell ref="E3:G3"/>
    <mergeCell ref="H3:J3"/>
    <mergeCell ref="K3:M3"/>
    <mergeCell ref="N3:P3"/>
    <mergeCell ref="N5:O5"/>
    <mergeCell ref="B6:D6"/>
    <mergeCell ref="E6:G6"/>
    <mergeCell ref="H6:J6"/>
    <mergeCell ref="K6:M6"/>
    <mergeCell ref="N6:P6"/>
    <mergeCell ref="B4:D4"/>
    <mergeCell ref="E4:G4"/>
    <mergeCell ref="H4:J4"/>
    <mergeCell ref="K4:M4"/>
    <mergeCell ref="N4:P4"/>
    <mergeCell ref="A1:G1"/>
    <mergeCell ref="I1:J1"/>
    <mergeCell ref="K1:L1"/>
    <mergeCell ref="M1:N1"/>
    <mergeCell ref="O1:P1"/>
    <mergeCell ref="A2:A3"/>
    <mergeCell ref="B2:D2"/>
    <mergeCell ref="E2:G2"/>
    <mergeCell ref="H2:J2"/>
    <mergeCell ref="K2:M2"/>
  </mergeCells>
  <phoneticPr fontId="5"/>
  <dataValidations count="1">
    <dataValidation type="list" allowBlank="1" showInputMessage="1" sqref="D5 P17 M17 J17 G17 D17 P15 M15 J15 G15 D15 P13 M13 J13 G13 D13 P11 M11 J11 G11 D11 P9 M9 J9 G9 D9 P7 M7 J7 G7 D7 P5 M5 J5 G5" xr:uid="{31D0232F-592D-4C88-B95D-7E72B774088A}">
      <formula1>"×,月1,月2,月3,月4,月5,月6,月7,火1,火2,火3,火4,火5,火6,火7,水1,水2,水3,水4,水5,水6,水7,木1,木2,木3,木4,木5,木6,木7,金1,金2,金3,金4,金5,金6,金7"</formula1>
    </dataValidation>
  </dataValidations>
  <printOptions horizontalCentered="1"/>
  <pageMargins left="0.78740157480314965" right="0.78740157480314965" top="0.78740157480314965" bottom="0.78740157480314965" header="0" footer="0"/>
  <pageSetup paperSize="9" scale="95"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tn_0">
              <controlPr defaultSize="0" print="0" autoFill="0" autoPict="0" macro="[0]!ボタン_新しい週">
                <anchor moveWithCells="1" sizeWithCells="1">
                  <from>
                    <xdr:col>17</xdr:col>
                    <xdr:colOff>60960</xdr:colOff>
                    <xdr:row>3</xdr:row>
                    <xdr:rowOff>30480</xdr:rowOff>
                  </from>
                  <to>
                    <xdr:col>18</xdr:col>
                    <xdr:colOff>533400</xdr:colOff>
                    <xdr:row>3</xdr:row>
                    <xdr:rowOff>335280</xdr:rowOff>
                  </to>
                </anchor>
              </controlPr>
            </control>
          </mc:Choice>
        </mc:AlternateContent>
        <mc:AlternateContent xmlns:mc="http://schemas.openxmlformats.org/markup-compatibility/2006">
          <mc:Choice Requires="x14">
            <control shapeId="15362" r:id="rId5" name="Btn_1">
              <controlPr defaultSize="0" print="0" autoFill="0" autoPict="0" macro="[0]!ボタン_時間割展開">
                <anchor moveWithCells="1" sizeWithCells="1">
                  <from>
                    <xdr:col>17</xdr:col>
                    <xdr:colOff>60960</xdr:colOff>
                    <xdr:row>3</xdr:row>
                    <xdr:rowOff>441960</xdr:rowOff>
                  </from>
                  <to>
                    <xdr:col>18</xdr:col>
                    <xdr:colOff>533400</xdr:colOff>
                    <xdr:row>4</xdr:row>
                    <xdr:rowOff>45720</xdr:rowOff>
                  </to>
                </anchor>
              </controlPr>
            </control>
          </mc:Choice>
        </mc:AlternateContent>
        <mc:AlternateContent xmlns:mc="http://schemas.openxmlformats.org/markup-compatibility/2006">
          <mc:Choice Requires="x14">
            <control shapeId="15363" r:id="rId6" name="Btn_2">
              <controlPr defaultSize="0" print="0" autoFill="0" autoPict="0" macro="[0]!ボタン_累計更新">
                <anchor moveWithCells="1" sizeWithCells="1">
                  <from>
                    <xdr:col>17</xdr:col>
                    <xdr:colOff>60960</xdr:colOff>
                    <xdr:row>4</xdr:row>
                    <xdr:rowOff>144780</xdr:rowOff>
                  </from>
                  <to>
                    <xdr:col>18</xdr:col>
                    <xdr:colOff>533400</xdr:colOff>
                    <xdr:row>5</xdr:row>
                    <xdr:rowOff>220980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xr:uid="{196F410A-61F0-4949-A7CA-48ACB4871435}">
          <x14:formula1>
            <xm:f>基本設定!$B$6:$B$20</xm:f>
          </x14:formula1>
          <xm:sqref>B5 N19 K19 H19 E19 B19 N17 K17 H17 E17 B17 N15 K15 H15 E15 B15 N13 K13 H13 E13 B13 N11 K11 H11 E11 B11 N9 K9 H9 E9 B9 N7 K7 H7 E7 B7 N5 K5 H5 E5</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956D33-92A4-4670-A972-0A03E7E92B01}">
  <sheetPr codeName="Sheet12">
    <tabColor rgb="FFC0392B"/>
    <pageSetUpPr fitToPage="1"/>
  </sheetPr>
  <dimension ref="A1:P25"/>
  <sheetViews>
    <sheetView workbookViewId="0">
      <selection activeCell="B16" sqref="B16:D16"/>
    </sheetView>
  </sheetViews>
  <sheetFormatPr defaultColWidth="8.77734375" defaultRowHeight="13.2" x14ac:dyDescent="0.2"/>
  <cols>
    <col min="1" max="1" width="5.44140625" customWidth="1"/>
    <col min="2" max="16" width="5.77734375" customWidth="1"/>
  </cols>
  <sheetData>
    <row r="1" spans="1:16" ht="50.1" customHeight="1" x14ac:dyDescent="0.2">
      <c r="A1" s="51" t="s">
        <v>34</v>
      </c>
      <c r="B1" s="52"/>
      <c r="C1" s="52"/>
      <c r="D1" s="52"/>
      <c r="E1" s="52"/>
      <c r="F1" s="52"/>
      <c r="G1" s="52"/>
      <c r="H1" s="8" t="s">
        <v>35</v>
      </c>
      <c r="I1" s="53" t="s">
        <v>36</v>
      </c>
      <c r="J1" s="54"/>
      <c r="K1" s="53" t="s">
        <v>37</v>
      </c>
      <c r="L1" s="54"/>
      <c r="M1" s="53" t="s">
        <v>38</v>
      </c>
      <c r="N1" s="54"/>
      <c r="O1" s="53" t="s">
        <v>39</v>
      </c>
      <c r="P1" s="54"/>
    </row>
    <row r="2" spans="1:16" ht="15.6" customHeight="1" x14ac:dyDescent="0.2">
      <c r="A2" s="55" t="s">
        <v>40</v>
      </c>
      <c r="B2" s="57" t="s">
        <v>29</v>
      </c>
      <c r="C2" s="57"/>
      <c r="D2" s="57"/>
      <c r="E2" s="59" t="s">
        <v>30</v>
      </c>
      <c r="F2" s="59"/>
      <c r="G2" s="59"/>
      <c r="H2" s="45" t="s">
        <v>31</v>
      </c>
      <c r="I2" s="45"/>
      <c r="J2" s="45"/>
      <c r="K2" s="47" t="s">
        <v>32</v>
      </c>
      <c r="L2" s="47"/>
      <c r="M2" s="47"/>
      <c r="N2" s="49" t="s">
        <v>33</v>
      </c>
      <c r="O2" s="49"/>
      <c r="P2" s="49"/>
    </row>
    <row r="3" spans="1:16" ht="15" customHeight="1" x14ac:dyDescent="0.2">
      <c r="A3" s="56"/>
      <c r="B3" s="58" t="s">
        <v>41</v>
      </c>
      <c r="C3" s="58"/>
      <c r="D3" s="58"/>
      <c r="E3" s="60" t="s">
        <v>42</v>
      </c>
      <c r="F3" s="60"/>
      <c r="G3" s="60"/>
      <c r="H3" s="46" t="s">
        <v>43</v>
      </c>
      <c r="I3" s="46"/>
      <c r="J3" s="46"/>
      <c r="K3" s="48" t="s">
        <v>44</v>
      </c>
      <c r="L3" s="48"/>
      <c r="M3" s="48"/>
      <c r="N3" s="50" t="s">
        <v>45</v>
      </c>
      <c r="O3" s="50"/>
      <c r="P3" s="50"/>
    </row>
    <row r="4" spans="1:16" ht="54.9" customHeight="1" x14ac:dyDescent="0.2">
      <c r="A4" s="9" t="s">
        <v>46</v>
      </c>
      <c r="B4" s="40"/>
      <c r="C4" s="40"/>
      <c r="D4" s="40"/>
      <c r="E4" s="41"/>
      <c r="F4" s="41"/>
      <c r="G4" s="41"/>
      <c r="H4" s="42"/>
      <c r="I4" s="42"/>
      <c r="J4" s="42"/>
      <c r="K4" s="43"/>
      <c r="L4" s="43"/>
      <c r="M4" s="43"/>
      <c r="N4" s="44"/>
      <c r="O4" s="44"/>
      <c r="P4" s="44"/>
    </row>
    <row r="5" spans="1:16" ht="18" customHeight="1" x14ac:dyDescent="0.2">
      <c r="A5" s="39">
        <v>1</v>
      </c>
      <c r="B5" s="37"/>
      <c r="C5" s="37"/>
      <c r="D5" s="25"/>
      <c r="E5" s="37"/>
      <c r="F5" s="37"/>
      <c r="G5" s="25"/>
      <c r="H5" s="37"/>
      <c r="I5" s="37"/>
      <c r="J5" s="25"/>
      <c r="K5" s="37"/>
      <c r="L5" s="37"/>
      <c r="M5" s="25"/>
      <c r="N5" s="37"/>
      <c r="O5" s="37"/>
      <c r="P5" s="25"/>
    </row>
    <row r="6" spans="1:16" ht="62.1" customHeight="1" x14ac:dyDescent="0.2">
      <c r="A6" s="39"/>
      <c r="B6" s="38"/>
      <c r="C6" s="38"/>
      <c r="D6" s="38"/>
      <c r="E6" s="38"/>
      <c r="F6" s="38"/>
      <c r="G6" s="38"/>
      <c r="H6" s="38"/>
      <c r="I6" s="38"/>
      <c r="J6" s="38"/>
      <c r="K6" s="38"/>
      <c r="L6" s="38"/>
      <c r="M6" s="38"/>
      <c r="N6" s="38"/>
      <c r="O6" s="38"/>
      <c r="P6" s="38"/>
    </row>
    <row r="7" spans="1:16" ht="18" customHeight="1" x14ac:dyDescent="0.2">
      <c r="A7" s="39">
        <v>2</v>
      </c>
      <c r="B7" s="37"/>
      <c r="C7" s="37"/>
      <c r="D7" s="25"/>
      <c r="E7" s="37"/>
      <c r="F7" s="37"/>
      <c r="G7" s="25"/>
      <c r="H7" s="37"/>
      <c r="I7" s="37"/>
      <c r="J7" s="25"/>
      <c r="K7" s="37"/>
      <c r="L7" s="37"/>
      <c r="M7" s="25"/>
      <c r="N7" s="37"/>
      <c r="O7" s="37"/>
      <c r="P7" s="25"/>
    </row>
    <row r="8" spans="1:16" ht="62.1" customHeight="1" x14ac:dyDescent="0.2">
      <c r="A8" s="39"/>
      <c r="B8" s="38"/>
      <c r="C8" s="38"/>
      <c r="D8" s="38"/>
      <c r="E8" s="38"/>
      <c r="F8" s="38"/>
      <c r="G8" s="38"/>
      <c r="H8" s="38"/>
      <c r="I8" s="38"/>
      <c r="J8" s="38"/>
      <c r="K8" s="38"/>
      <c r="L8" s="38"/>
      <c r="M8" s="38"/>
      <c r="N8" s="38"/>
      <c r="O8" s="38"/>
      <c r="P8" s="38"/>
    </row>
    <row r="9" spans="1:16" ht="18" customHeight="1" x14ac:dyDescent="0.2">
      <c r="A9" s="39">
        <v>3</v>
      </c>
      <c r="B9" s="37"/>
      <c r="C9" s="37"/>
      <c r="D9" s="25"/>
      <c r="E9" s="37"/>
      <c r="F9" s="37"/>
      <c r="G9" s="25"/>
      <c r="H9" s="37"/>
      <c r="I9" s="37"/>
      <c r="J9" s="25"/>
      <c r="K9" s="37"/>
      <c r="L9" s="37"/>
      <c r="M9" s="25"/>
      <c r="N9" s="37"/>
      <c r="O9" s="37"/>
      <c r="P9" s="25"/>
    </row>
    <row r="10" spans="1:16" ht="62.1" customHeight="1" x14ac:dyDescent="0.2">
      <c r="A10" s="39"/>
      <c r="B10" s="38"/>
      <c r="C10" s="38"/>
      <c r="D10" s="38"/>
      <c r="E10" s="38"/>
      <c r="F10" s="38"/>
      <c r="G10" s="38"/>
      <c r="H10" s="38"/>
      <c r="I10" s="38"/>
      <c r="J10" s="38"/>
      <c r="K10" s="38"/>
      <c r="L10" s="38"/>
      <c r="M10" s="38"/>
      <c r="N10" s="38"/>
      <c r="O10" s="38"/>
      <c r="P10" s="38"/>
    </row>
    <row r="11" spans="1:16" ht="18" customHeight="1" x14ac:dyDescent="0.2">
      <c r="A11" s="39">
        <v>4</v>
      </c>
      <c r="B11" s="37"/>
      <c r="C11" s="37"/>
      <c r="D11" s="25"/>
      <c r="E11" s="37"/>
      <c r="F11" s="37"/>
      <c r="G11" s="25"/>
      <c r="H11" s="37"/>
      <c r="I11" s="37"/>
      <c r="J11" s="25"/>
      <c r="K11" s="37"/>
      <c r="L11" s="37"/>
      <c r="M11" s="25"/>
      <c r="N11" s="37"/>
      <c r="O11" s="37"/>
      <c r="P11" s="25"/>
    </row>
    <row r="12" spans="1:16" ht="62.1" customHeight="1" x14ac:dyDescent="0.2">
      <c r="A12" s="39"/>
      <c r="B12" s="38"/>
      <c r="C12" s="38"/>
      <c r="D12" s="38"/>
      <c r="E12" s="38"/>
      <c r="F12" s="38"/>
      <c r="G12" s="38"/>
      <c r="H12" s="38"/>
      <c r="I12" s="38"/>
      <c r="J12" s="38"/>
      <c r="K12" s="38"/>
      <c r="L12" s="38"/>
      <c r="M12" s="38"/>
      <c r="N12" s="38"/>
      <c r="O12" s="38"/>
      <c r="P12" s="38"/>
    </row>
    <row r="13" spans="1:16" ht="18" customHeight="1" x14ac:dyDescent="0.2">
      <c r="A13" s="39">
        <v>5</v>
      </c>
      <c r="B13" s="37"/>
      <c r="C13" s="37"/>
      <c r="D13" s="25"/>
      <c r="E13" s="37"/>
      <c r="F13" s="37"/>
      <c r="G13" s="25"/>
      <c r="H13" s="37"/>
      <c r="I13" s="37"/>
      <c r="J13" s="25"/>
      <c r="K13" s="37"/>
      <c r="L13" s="37"/>
      <c r="M13" s="25"/>
      <c r="N13" s="37"/>
      <c r="O13" s="37"/>
      <c r="P13" s="25"/>
    </row>
    <row r="14" spans="1:16" ht="62.1" customHeight="1" x14ac:dyDescent="0.2">
      <c r="A14" s="39"/>
      <c r="B14" s="38"/>
      <c r="C14" s="38"/>
      <c r="D14" s="38"/>
      <c r="E14" s="38"/>
      <c r="F14" s="38"/>
      <c r="G14" s="38"/>
      <c r="H14" s="38"/>
      <c r="I14" s="38"/>
      <c r="J14" s="38"/>
      <c r="K14" s="38"/>
      <c r="L14" s="38"/>
      <c r="M14" s="38"/>
      <c r="N14" s="38"/>
      <c r="O14" s="38"/>
      <c r="P14" s="38"/>
    </row>
    <row r="15" spans="1:16" ht="18" customHeight="1" x14ac:dyDescent="0.2">
      <c r="A15" s="39">
        <v>6</v>
      </c>
      <c r="B15" s="37"/>
      <c r="C15" s="37"/>
      <c r="D15" s="25"/>
      <c r="E15" s="37"/>
      <c r="F15" s="37"/>
      <c r="G15" s="25"/>
      <c r="H15" s="37"/>
      <c r="I15" s="37"/>
      <c r="J15" s="25"/>
      <c r="K15" s="37"/>
      <c r="L15" s="37"/>
      <c r="M15" s="25"/>
      <c r="N15" s="37"/>
      <c r="O15" s="37"/>
      <c r="P15" s="25"/>
    </row>
    <row r="16" spans="1:16" ht="62.1" customHeight="1" x14ac:dyDescent="0.2">
      <c r="A16" s="39"/>
      <c r="B16" s="38"/>
      <c r="C16" s="38"/>
      <c r="D16" s="38"/>
      <c r="E16" s="38"/>
      <c r="F16" s="38"/>
      <c r="G16" s="38"/>
      <c r="H16" s="38"/>
      <c r="I16" s="38"/>
      <c r="J16" s="38"/>
      <c r="K16" s="38"/>
      <c r="L16" s="38"/>
      <c r="M16" s="38"/>
      <c r="N16" s="38"/>
      <c r="O16" s="38"/>
      <c r="P16" s="38"/>
    </row>
    <row r="17" spans="1:16" ht="18" customHeight="1" x14ac:dyDescent="0.2">
      <c r="A17" s="39">
        <v>7</v>
      </c>
      <c r="B17" s="37"/>
      <c r="C17" s="37"/>
      <c r="D17" s="25"/>
      <c r="E17" s="37"/>
      <c r="F17" s="37"/>
      <c r="G17" s="25"/>
      <c r="H17" s="37"/>
      <c r="I17" s="37"/>
      <c r="J17" s="25"/>
      <c r="K17" s="37"/>
      <c r="L17" s="37"/>
      <c r="M17" s="25"/>
      <c r="N17" s="37"/>
      <c r="O17" s="37"/>
      <c r="P17" s="25"/>
    </row>
    <row r="18" spans="1:16" ht="62.1" customHeight="1" x14ac:dyDescent="0.2">
      <c r="A18" s="39"/>
      <c r="B18" s="38"/>
      <c r="C18" s="38"/>
      <c r="D18" s="38"/>
      <c r="E18" s="38"/>
      <c r="F18" s="38"/>
      <c r="G18" s="38"/>
      <c r="H18" s="38"/>
      <c r="I18" s="38"/>
      <c r="J18" s="38"/>
      <c r="K18" s="38"/>
      <c r="L18" s="38"/>
      <c r="M18" s="38"/>
      <c r="N18" s="38"/>
      <c r="O18" s="38"/>
      <c r="P18" s="38"/>
    </row>
    <row r="19" spans="1:16" ht="54.9" customHeight="1" x14ac:dyDescent="0.2">
      <c r="A19" s="10" t="s">
        <v>47</v>
      </c>
      <c r="B19" s="34"/>
      <c r="C19" s="34"/>
      <c r="D19" s="34"/>
      <c r="E19" s="34"/>
      <c r="F19" s="34"/>
      <c r="G19" s="34"/>
      <c r="H19" s="34"/>
      <c r="I19" s="34"/>
      <c r="J19" s="34"/>
      <c r="K19" s="34"/>
      <c r="L19" s="34"/>
      <c r="M19" s="34"/>
      <c r="N19" s="34"/>
      <c r="O19" s="34"/>
      <c r="P19" s="34"/>
    </row>
    <row r="20" spans="1:16" hidden="1" x14ac:dyDescent="0.2">
      <c r="A20" s="11"/>
      <c r="B20" s="11"/>
      <c r="C20" s="11"/>
      <c r="D20" s="11"/>
      <c r="E20" s="11"/>
      <c r="F20" s="11"/>
      <c r="G20" s="11"/>
      <c r="H20" s="11"/>
      <c r="I20" s="11"/>
      <c r="J20" s="11"/>
      <c r="K20" s="11"/>
      <c r="L20" s="11"/>
      <c r="M20" s="11"/>
      <c r="N20" s="11"/>
      <c r="O20" s="11"/>
      <c r="P20" s="11"/>
    </row>
    <row r="21" spans="1:16" ht="13.5" customHeight="1" x14ac:dyDescent="0.2">
      <c r="A21" s="12" t="s">
        <v>48</v>
      </c>
      <c r="B21" s="12">
        <f>IF(基本設定!B6="","",基本設定!B6)</f>
      </c>
      <c r="C21" s="12">
        <f>IF(基本設定!B7="","",基本設定!B7)</f>
      </c>
      <c r="D21" s="12">
        <f>IF(基本設定!B8="","",基本設定!B8)</f>
      </c>
      <c r="E21" s="12">
        <f>IF(基本設定!B9="","",基本設定!B9)</f>
      </c>
      <c r="F21" s="12">
        <f>IF(基本設定!B10="","",基本設定!B10)</f>
      </c>
      <c r="G21" s="12">
        <f>IF(基本設定!B11="","",基本設定!B11)</f>
      </c>
      <c r="H21" s="12"/>
      <c r="I21" s="12"/>
      <c r="J21" s="12"/>
      <c r="K21" s="12"/>
      <c r="L21" s="12"/>
      <c r="M21" s="13" t="s">
        <v>53</v>
      </c>
      <c r="N21" s="12" t="s">
        <v>20</v>
      </c>
      <c r="O21" s="12" t="s">
        <v>22</v>
      </c>
      <c r="P21" s="14" t="s">
        <v>49</v>
      </c>
    </row>
    <row r="22" spans="1:16" ht="13.5" customHeight="1" x14ac:dyDescent="0.2">
      <c r="A22" s="15" t="s">
        <v>50</v>
      </c>
      <c r="B22" s="16">
        <f>IF(B21="","",IFERROR(VALUE(VLOOKUP(B21,基本設定!$A$23:$B$35,2,FALSE())),""))</f>
      </c>
      <c r="C22" s="16">
        <f>IF(C21="","",IFERROR(VALUE(VLOOKUP(C21,基本設定!$A$23:$B$35,2,FALSE())),""))</f>
      </c>
      <c r="D22" s="16">
        <f>IF(D21="","",IFERROR(VALUE(VLOOKUP(D21,基本設定!$A$23:$B$35,2,FALSE())),""))</f>
      </c>
      <c r="E22" s="16">
        <f>IF(E21="","",IFERROR(VALUE(VLOOKUP(E21,基本設定!$A$23:$B$35,2,FALSE())),""))</f>
      </c>
      <c r="F22" s="16">
        <f>IF(F21="","",IFERROR(VALUE(VLOOKUP(F21,基本設定!$A$23:$B$35,2,FALSE())),""))</f>
      </c>
      <c r="G22" s="16">
        <f>IF(G21="","",IFERROR(VALUE(VLOOKUP(G21,基本設定!$A$23:$B$35,2,FALSE())),""))</f>
      </c>
      <c r="H22" s="17"/>
      <c r="I22" s="17"/>
      <c r="J22" s="17"/>
      <c r="K22" s="17"/>
      <c r="L22" s="17"/>
      <c r="M22" s="17">
        <v>1</v>
      </c>
      <c r="N22" s="17">
        <f>IF(N21="","",IFERROR(VALUE(VLOOKUP(N21,基本設定!$A$23:$B$35,2,FALSE())),""))</f>
      </c>
      <c r="O22" s="17">
        <f>IF(O21="","",IFERROR(VALUE(VLOOKUP(O21,基本設定!$A$23:$B$35,2,FALSE())),""))</f>
      </c>
      <c r="P22" s="18">
        <f>IF(SUM(B22:O22)=0,"",SUM(B22:O22))</f>
      </c>
    </row>
    <row r="23" spans="1:16" ht="13.5" customHeight="1" x14ac:dyDescent="0.2">
      <c r="A23" s="35" t="s">
        <v>51</v>
      </c>
      <c r="B23" s="19">
        <f>IF(B21="","",IF(B24="","",B24-(SUMPRODUCT((B5:C5=B21)*(D5="×"))+SUMPRODUCT((E5:F5=B21)*(G5="×"))+SUMPRODUCT((H5:I5=B21)*(J5="×"))+SUMPRODUCT((K5:L5=B21)*(M5="×"))+SUMPRODUCT((N5:O5=B21)*(P5="×"))+SUMPRODUCT((B7:C7=B21)*(D7="×"))+SUMPRODUCT((E7:F7=B21)*(G7="×"))+SUMPRODUCT((H7:I7=B21)*(J7="×"))+SUMPRODUCT((K7:L7=B21)*(M7="×"))+SUMPRODUCT((N7:O7=B21)*(P7="×"))+SUMPRODUCT((B9:C9=B21)*(D9="×"))+SUMPRODUCT((E9:F9=B21)*(G9="×"))+SUMPRODUCT((H9:I9=B21)*(J9="×"))+SUMPRODUCT((K9:L9=B21)*(M9="×"))+SUMPRODUCT((N9:O9=B21)*(P9="×"))+SUMPRODUCT((B11:C11=B21)*(D11="×"))+SUMPRODUCT((E11:F11=B21)*(G11="×"))+SUMPRODUCT((H11:I11=B21)*(J11="×"))+SUMPRODUCT((K11:L11=B21)*(M11="×"))+SUMPRODUCT((N11:O11=B21)*(P11="×"))+SUMPRODUCT((B13:C13=B21)*(D13="×"))+SUMPRODUCT((E13:F13=B21)*(G13="×"))+SUMPRODUCT((H13:I13=B21)*(J13="×"))+SUMPRODUCT((K13:L13=B21)*(M13="×"))+SUMPRODUCT((N13:O13=B21)*(P13="×"))+SUMPRODUCT((B15:C15=B21)*(D15="×"))+SUMPRODUCT((E15:F15=B21)*(G15="×"))+SUMPRODUCT((H15:I15=B21)*(J15="×"))+SUMPRODUCT((K15:L15=B21)*(M15="×"))+SUMPRODUCT((N15:O15=B21)*(P15="×"))+SUMPRODUCT((B17:C17=B21)*(D17="×"))+SUMPRODUCT((E17:F17=B21)*(G17="×"))+SUMPRODUCT((H17:I17=B21)*(J17="×"))+SUMPRODUCT((K17:L17=B21)*(M17="×"))+SUMPRODUCT((N17:O17=B21)*(P17="×")))))</f>
        <v/>
      </c>
      <c r="C23" s="19">
        <f>IF(C21="","",IF(C24="","",C24-(SUMPRODUCT((B5:C5=C21)*(D5="×"))+SUMPRODUCT((E5:F5=C21)*(G5="×"))+SUMPRODUCT((H5:I5=C21)*(J5="×"))+SUMPRODUCT((K5:L5=C21)*(M5="×"))+SUMPRODUCT((N5:O5=C21)*(P5="×"))+SUMPRODUCT((B7:C7=C21)*(D7="×"))+SUMPRODUCT((E7:F7=C21)*(G7="×"))+SUMPRODUCT((H7:I7=C21)*(J7="×"))+SUMPRODUCT((K7:L7=C21)*(M7="×"))+SUMPRODUCT((N7:O7=C21)*(P7="×"))+SUMPRODUCT((B9:C9=C21)*(D9="×"))+SUMPRODUCT((E9:F9=C21)*(G9="×"))+SUMPRODUCT((H9:I9=C21)*(J9="×"))+SUMPRODUCT((K9:L9=C21)*(M9="×"))+SUMPRODUCT((N9:O9=C21)*(P9="×"))+SUMPRODUCT((B11:C11=C21)*(D11="×"))+SUMPRODUCT((E11:F11=C21)*(G11="×"))+SUMPRODUCT((H11:I11=C21)*(J11="×"))+SUMPRODUCT((K11:L11=C21)*(M11="×"))+SUMPRODUCT((N11:O11=C21)*(P11="×"))+SUMPRODUCT((B13:C13=C21)*(D13="×"))+SUMPRODUCT((E13:F13=C21)*(G13="×"))+SUMPRODUCT((H13:I13=C21)*(J13="×"))+SUMPRODUCT((K13:L13=C21)*(M13="×"))+SUMPRODUCT((N13:O13=C21)*(P13="×"))+SUMPRODUCT((B15:C15=C21)*(D15="×"))+SUMPRODUCT((E15:F15=C21)*(G15="×"))+SUMPRODUCT((H15:I15=C21)*(J15="×"))+SUMPRODUCT((K15:L15=C21)*(M15="×"))+SUMPRODUCT((N15:O15=C21)*(P15="×"))+SUMPRODUCT((B17:C17=C21)*(D17="×"))+SUMPRODUCT((E17:F17=C21)*(G17="×"))+SUMPRODUCT((H17:I17=C21)*(J17="×"))+SUMPRODUCT((K17:L17=C21)*(M17="×"))+SUMPRODUCT((N17:O17=C21)*(P17="×")))))</f>
        <v/>
      </c>
      <c r="D23" s="19">
        <f>IF(D21="","",IF(D24="","",D24-(SUMPRODUCT((B5:C5=D21)*(D5="×"))+SUMPRODUCT((E5:F5=D21)*(G5="×"))+SUMPRODUCT((H5:I5=D21)*(J5="×"))+SUMPRODUCT((K5:L5=D21)*(M5="×"))+SUMPRODUCT((N5:O5=D21)*(P5="×"))+SUMPRODUCT((B7:C7=D21)*(D7="×"))+SUMPRODUCT((E7:F7=D21)*(G7="×"))+SUMPRODUCT((H7:I7=D21)*(J7="×"))+SUMPRODUCT((K7:L7=D21)*(M7="×"))+SUMPRODUCT((N7:O7=D21)*(P7="×"))+SUMPRODUCT((B9:C9=D21)*(D9="×"))+SUMPRODUCT((E9:F9=D21)*(G9="×"))+SUMPRODUCT((H9:I9=D21)*(J9="×"))+SUMPRODUCT((K9:L9=D21)*(M9="×"))+SUMPRODUCT((N9:O9=D21)*(P9="×"))+SUMPRODUCT((B11:C11=D21)*(D11="×"))+SUMPRODUCT((E11:F11=D21)*(G11="×"))+SUMPRODUCT((H11:I11=D21)*(J11="×"))+SUMPRODUCT((K11:L11=D21)*(M11="×"))+SUMPRODUCT((N11:O11=D21)*(P11="×"))+SUMPRODUCT((B13:C13=D21)*(D13="×"))+SUMPRODUCT((E13:F13=D21)*(G13="×"))+SUMPRODUCT((H13:I13=D21)*(J13="×"))+SUMPRODUCT((K13:L13=D21)*(M13="×"))+SUMPRODUCT((N13:O13=D21)*(P13="×"))+SUMPRODUCT((B15:C15=D21)*(D15="×"))+SUMPRODUCT((E15:F15=D21)*(G15="×"))+SUMPRODUCT((H15:I15=D21)*(J15="×"))+SUMPRODUCT((K15:L15=D21)*(M15="×"))+SUMPRODUCT((N15:O15=D21)*(P15="×"))+SUMPRODUCT((B17:C17=D21)*(D17="×"))+SUMPRODUCT((E17:F17=D21)*(G17="×"))+SUMPRODUCT((H17:I17=D21)*(J17="×"))+SUMPRODUCT((K17:L17=D21)*(M17="×"))+SUMPRODUCT((N17:O17=D21)*(P17="×")))))</f>
        <v/>
      </c>
      <c r="E23" s="19">
        <f>IF(E21="","",IF(E24="","",E24-(SUMPRODUCT((B5:C5=E21)*(D5="×"))+SUMPRODUCT((E5:F5=E21)*(G5="×"))+SUMPRODUCT((H5:I5=E21)*(J5="×"))+SUMPRODUCT((K5:L5=E21)*(M5="×"))+SUMPRODUCT((N5:O5=E21)*(P5="×"))+SUMPRODUCT((B7:C7=E21)*(D7="×"))+SUMPRODUCT((E7:F7=E21)*(G7="×"))+SUMPRODUCT((H7:I7=E21)*(J7="×"))+SUMPRODUCT((K7:L7=E21)*(M7="×"))+SUMPRODUCT((N7:O7=E21)*(P7="×"))+SUMPRODUCT((B9:C9=E21)*(D9="×"))+SUMPRODUCT((E9:F9=E21)*(G9="×"))+SUMPRODUCT((H9:I9=E21)*(J9="×"))+SUMPRODUCT((K9:L9=E21)*(M9="×"))+SUMPRODUCT((N9:O9=E21)*(P9="×"))+SUMPRODUCT((B11:C11=E21)*(D11="×"))+SUMPRODUCT((E11:F11=E21)*(G11="×"))+SUMPRODUCT((H11:I11=E21)*(J11="×"))+SUMPRODUCT((K11:L11=E21)*(M11="×"))+SUMPRODUCT((N11:O11=E21)*(P11="×"))+SUMPRODUCT((B13:C13=E21)*(D13="×"))+SUMPRODUCT((E13:F13=E21)*(G13="×"))+SUMPRODUCT((H13:I13=E21)*(J13="×"))+SUMPRODUCT((K13:L13=E21)*(M13="×"))+SUMPRODUCT((N13:O13=E21)*(P13="×"))+SUMPRODUCT((B15:C15=E21)*(D15="×"))+SUMPRODUCT((E15:F15=E21)*(G15="×"))+SUMPRODUCT((H15:I15=E21)*(J15="×"))+SUMPRODUCT((K15:L15=E21)*(M15="×"))+SUMPRODUCT((N15:O15=E21)*(P15="×"))+SUMPRODUCT((B17:C17=E21)*(D17="×"))+SUMPRODUCT((E17:F17=E21)*(G17="×"))+SUMPRODUCT((H17:I17=E21)*(J17="×"))+SUMPRODUCT((K17:L17=E21)*(M17="×"))+SUMPRODUCT((N17:O17=E21)*(P17="×")))))</f>
        <v/>
      </c>
      <c r="F23" s="19">
        <f>IF(F21="","",IF(F24="","",F24-(SUMPRODUCT((B5:C5=F21)*(D5="×"))+SUMPRODUCT((E5:F5=F21)*(G5="×"))+SUMPRODUCT((H5:I5=F21)*(J5="×"))+SUMPRODUCT((K5:L5=F21)*(M5="×"))+SUMPRODUCT((N5:O5=F21)*(P5="×"))+SUMPRODUCT((B7:C7=F21)*(D7="×"))+SUMPRODUCT((E7:F7=F21)*(G7="×"))+SUMPRODUCT((H7:I7=F21)*(J7="×"))+SUMPRODUCT((K7:L7=F21)*(M7="×"))+SUMPRODUCT((N7:O7=F21)*(P7="×"))+SUMPRODUCT((B9:C9=F21)*(D9="×"))+SUMPRODUCT((E9:F9=F21)*(G9="×"))+SUMPRODUCT((H9:I9=F21)*(J9="×"))+SUMPRODUCT((K9:L9=F21)*(M9="×"))+SUMPRODUCT((N9:O9=F21)*(P9="×"))+SUMPRODUCT((B11:C11=F21)*(D11="×"))+SUMPRODUCT((E11:F11=F21)*(G11="×"))+SUMPRODUCT((H11:I11=F21)*(J11="×"))+SUMPRODUCT((K11:L11=F21)*(M11="×"))+SUMPRODUCT((N11:O11=F21)*(P11="×"))+SUMPRODUCT((B13:C13=F21)*(D13="×"))+SUMPRODUCT((E13:F13=F21)*(G13="×"))+SUMPRODUCT((H13:I13=F21)*(J13="×"))+SUMPRODUCT((K13:L13=F21)*(M13="×"))+SUMPRODUCT((N13:O13=F21)*(P13="×"))+SUMPRODUCT((B15:C15=F21)*(D15="×"))+SUMPRODUCT((E15:F15=F21)*(G15="×"))+SUMPRODUCT((H15:I15=F21)*(J15="×"))+SUMPRODUCT((K15:L15=F21)*(M15="×"))+SUMPRODUCT((N15:O15=F21)*(P15="×"))+SUMPRODUCT((B17:C17=F21)*(D17="×"))+SUMPRODUCT((E17:F17=F21)*(G17="×"))+SUMPRODUCT((H17:I17=F21)*(J17="×"))+SUMPRODUCT((K17:L17=F21)*(M17="×"))+SUMPRODUCT((N17:O17=F21)*(P17="×")))))</f>
        <v/>
      </c>
      <c r="G23" s="19">
        <f>IF(G21="","",IF(G24="","",G24-(SUMPRODUCT((B5:C5=G21)*(D5="×"))+SUMPRODUCT((E5:F5=G21)*(G5="×"))+SUMPRODUCT((H5:I5=G21)*(J5="×"))+SUMPRODUCT((K5:L5=G21)*(M5="×"))+SUMPRODUCT((N5:O5=G21)*(P5="×"))+SUMPRODUCT((B7:C7=G21)*(D7="×"))+SUMPRODUCT((E7:F7=G21)*(G7="×"))+SUMPRODUCT((H7:I7=G21)*(J7="×"))+SUMPRODUCT((K7:L7=G21)*(M7="×"))+SUMPRODUCT((N7:O7=G21)*(P7="×"))+SUMPRODUCT((B9:C9=G21)*(D9="×"))+SUMPRODUCT((E9:F9=G21)*(G9="×"))+SUMPRODUCT((H9:I9=G21)*(J9="×"))+SUMPRODUCT((K9:L9=G21)*(M9="×"))+SUMPRODUCT((N9:O9=G21)*(P9="×"))+SUMPRODUCT((B11:C11=G21)*(D11="×"))+SUMPRODUCT((E11:F11=G21)*(G11="×"))+SUMPRODUCT((H11:I11=G21)*(J11="×"))+SUMPRODUCT((K11:L11=G21)*(M11="×"))+SUMPRODUCT((N11:O11=G21)*(P11="×"))+SUMPRODUCT((B13:C13=G21)*(D13="×"))+SUMPRODUCT((E13:F13=G21)*(G13="×"))+SUMPRODUCT((H13:I13=G21)*(J13="×"))+SUMPRODUCT((K13:L13=G21)*(M13="×"))+SUMPRODUCT((N13:O13=G21)*(P13="×"))+SUMPRODUCT((B15:C15=G21)*(D15="×"))+SUMPRODUCT((E15:F15=G21)*(G15="×"))+SUMPRODUCT((H15:I15=G21)*(J15="×"))+SUMPRODUCT((K15:L15=G21)*(M15="×"))+SUMPRODUCT((N15:O15=G21)*(P15="×"))+SUMPRODUCT((B17:C17=G21)*(D17="×"))+SUMPRODUCT((E17:F17=G21)*(G17="×"))+SUMPRODUCT((H17:I17=G21)*(J17="×"))+SUMPRODUCT((K17:L17=G21)*(M17="×"))+SUMPRODUCT((N17:O17=G21)*(P17="×")))))</f>
        <v/>
      </c>
      <c r="H23" s="19"/>
      <c r="I23" s="19"/>
      <c r="J23" s="19"/>
      <c r="K23" s="19"/>
      <c r="L23" s="19"/>
      <c r="M23" s="19">
        <f>IF(M24="","",M24-(SUMPRODUCT((B5:C5="特活")*(D5="×"))+SUMPRODUCT((B5:C5="学活")*(D5="×"))+SUMPRODUCT((E5:F5="特活")*(G5="×"))+SUMPRODUCT((E5:F5="学活")*(G5="×"))+SUMPRODUCT((H5:I5="特活")*(J5="×"))+SUMPRODUCT((H5:I5="学活")*(J5="×"))+SUMPRODUCT((K5:L5="特活")*(M5="×"))+SUMPRODUCT((K5:L5="学活")*(M5="×"))+SUMPRODUCT((N5:O5="特活")*(P5="×"))+SUMPRODUCT((N5:O5="学活")*(P5="×"))+SUMPRODUCT((B7:C7="特活")*(D7="×"))+SUMPRODUCT((B7:C7="学活")*(D7="×"))+SUMPRODUCT((E7:F7="特活")*(G7="×"))+SUMPRODUCT((E7:F7="学活")*(G7="×"))+SUMPRODUCT((H7:I7="特活")*(J7="×"))+SUMPRODUCT((H7:I7="学活")*(J7="×"))+SUMPRODUCT((K7:L7="特活")*(M7="×"))+SUMPRODUCT((K7:L7="学活")*(M7="×"))+SUMPRODUCT((N7:O7="特活")*(P7="×"))+SUMPRODUCT((N7:O7="学活")*(P7="×"))+SUMPRODUCT((B9:C9="特活")*(D9="×"))+SUMPRODUCT((B9:C9="学活")*(D9="×"))+SUMPRODUCT((E9:F9="特活")*(G9="×"))+SUMPRODUCT((E9:F9="学活")*(G9="×"))+SUMPRODUCT((H9:I9="特活")*(J9="×"))+SUMPRODUCT((H9:I9="学活")*(J9="×"))+SUMPRODUCT((K9:L9="特活")*(M9="×"))+SUMPRODUCT((K9:L9="学活")*(M9="×"))+SUMPRODUCT((N9:O9="特活")*(P9="×"))+SUMPRODUCT((N9:O9="学活")*(P9="×"))+SUMPRODUCT((B11:C11="特活")*(D11="×"))+SUMPRODUCT((B11:C11="学活")*(D11="×"))+SUMPRODUCT((E11:F11="特活")*(G11="×"))+SUMPRODUCT((E11:F11="学活")*(G11="×"))+SUMPRODUCT((H11:I11="特活")*(J11="×"))+SUMPRODUCT((H11:I11="学活")*(J11="×"))+SUMPRODUCT((K11:L11="特活")*(M11="×"))+SUMPRODUCT((K11:L11="学活")*(M11="×"))+SUMPRODUCT((N11:O11="特活")*(P11="×"))+SUMPRODUCT((N11:O11="学活")*(P11="×"))+SUMPRODUCT((B13:C13="特活")*(D13="×"))+SUMPRODUCT((B13:C13="学活")*(D13="×"))+SUMPRODUCT((E13:F13="特活")*(G13="×"))+SUMPRODUCT((E13:F13="学活")*(G13="×"))+SUMPRODUCT((H13:I13="特活")*(J13="×"))+SUMPRODUCT((H13:I13="学活")*(J13="×"))+SUMPRODUCT((K13:L13="特活")*(M13="×"))+SUMPRODUCT((K13:L13="学活")*(M13="×"))+SUMPRODUCT((N13:O13="特活")*(P13="×"))+SUMPRODUCT((N13:O13="学活")*(P13="×"))+SUMPRODUCT((B15:C15="特活")*(D15="×"))+SUMPRODUCT((B15:C15="学活")*(D15="×"))+SUMPRODUCT((E15:F15="特活")*(G15="×"))+SUMPRODUCT((E15:F15="学活")*(G15="×"))+SUMPRODUCT((H15:I15="特活")*(J15="×"))+SUMPRODUCT((H15:I15="学活")*(J15="×"))+SUMPRODUCT((K15:L15="特活")*(M15="×"))+SUMPRODUCT((K15:L15="学活")*(M15="×"))+SUMPRODUCT((N15:O15="特活")*(P15="×"))+SUMPRODUCT((N15:O15="学活")*(P15="×"))+SUMPRODUCT((B17:C17="特活")*(D17="×"))+SUMPRODUCT((B17:C17="学活")*(D17="×"))+SUMPRODUCT((E17:F17="特活")*(G17="×"))+SUMPRODUCT((E17:F17="学活")*(G17="×"))+SUMPRODUCT((H17:I17="特活")*(J17="×"))+SUMPRODUCT((H17:I17="学活")*(J17="×"))+SUMPRODUCT((K17:L17="特活")*(M17="×"))+SUMPRODUCT((K17:L17="学活")*(M17="×"))+SUMPRODUCT((N17:O17="特活")*(P17="×"))+SUMPRODUCT((N17:O17="学活")*(P17="×"))))</f>
        <v/>
      </c>
      <c r="N23" s="19">
        <f>IF(N24="","",N24-(SUMPRODUCT((B5:C5=N21)*(D5="×"))+SUMPRODUCT((E5:F5=N21)*(G5="×"))+SUMPRODUCT((H5:I5=N21)*(J5="×"))+SUMPRODUCT((K5:L5=N21)*(M5="×"))+SUMPRODUCT((N5:O5=N21)*(P5="×"))+SUMPRODUCT((B7:C7=N21)*(D7="×"))+SUMPRODUCT((E7:F7=N21)*(G7="×"))+SUMPRODUCT((H7:I7=N21)*(J7="×"))+SUMPRODUCT((K7:L7=N21)*(M7="×"))+SUMPRODUCT((N7:O7=N21)*(P7="×"))+SUMPRODUCT((B9:C9=N21)*(D9="×"))+SUMPRODUCT((E9:F9=N21)*(G9="×"))+SUMPRODUCT((H9:I9=N21)*(J9="×"))+SUMPRODUCT((K9:L9=N21)*(M9="×"))+SUMPRODUCT((N9:O9=N21)*(P9="×"))+SUMPRODUCT((B11:C11=N21)*(D11="×"))+SUMPRODUCT((E11:F11=N21)*(G11="×"))+SUMPRODUCT((H11:I11=N21)*(J11="×"))+SUMPRODUCT((K11:L11=N21)*(M11="×"))+SUMPRODUCT((N11:O11=N21)*(P11="×"))+SUMPRODUCT((B13:C13=N21)*(D13="×"))+SUMPRODUCT((E13:F13=N21)*(G13="×"))+SUMPRODUCT((H13:I13=N21)*(J13="×"))+SUMPRODUCT((K13:L13=N21)*(M13="×"))+SUMPRODUCT((N13:O13=N21)*(P13="×"))+SUMPRODUCT((B15:C15=N21)*(D15="×"))+SUMPRODUCT((E15:F15=N21)*(G15="×"))+SUMPRODUCT((H15:I15=N21)*(J15="×"))+SUMPRODUCT((K15:L15=N21)*(M15="×"))+SUMPRODUCT((N15:O15=N21)*(P15="×"))+SUMPRODUCT((B17:C17=N21)*(D17="×"))+SUMPRODUCT((E17:F17=N21)*(G17="×"))+SUMPRODUCT((H17:I17=N21)*(J17="×"))+SUMPRODUCT((K17:L17=N21)*(M17="×"))+SUMPRODUCT((N17:O17=N21)*(P17="×"))))</f>
        <v/>
      </c>
      <c r="O23" s="19">
        <f>IF(O24="","",O24-(SUMPRODUCT((B5:C5=O21)*(D5="×"))+SUMPRODUCT((E5:F5=O21)*(G5="×"))+SUMPRODUCT((H5:I5=O21)*(J5="×"))+SUMPRODUCT((K5:L5=O21)*(M5="×"))+SUMPRODUCT((N5:O5=O21)*(P5="×"))+SUMPRODUCT((B7:C7=O21)*(D7="×"))+SUMPRODUCT((E7:F7=O21)*(G7="×"))+SUMPRODUCT((H7:I7=O21)*(J7="×"))+SUMPRODUCT((K7:L7=O21)*(M7="×"))+SUMPRODUCT((N7:O7=O21)*(P7="×"))+SUMPRODUCT((B9:C9=O21)*(D9="×"))+SUMPRODUCT((E9:F9=O21)*(G9="×"))+SUMPRODUCT((H9:I9=O21)*(J9="×"))+SUMPRODUCT((K9:L9=O21)*(M9="×"))+SUMPRODUCT((N9:O9=O21)*(P9="×"))+SUMPRODUCT((B11:C11=O21)*(D11="×"))+SUMPRODUCT((E11:F11=O21)*(G11="×"))+SUMPRODUCT((H11:I11=O21)*(J11="×"))+SUMPRODUCT((K11:L11=O21)*(M11="×"))+SUMPRODUCT((N11:O11=O21)*(P11="×"))+SUMPRODUCT((B13:C13=O21)*(D13="×"))+SUMPRODUCT((E13:F13=O21)*(G13="×"))+SUMPRODUCT((H13:I13=O21)*(J13="×"))+SUMPRODUCT((K13:L13=O21)*(M13="×"))+SUMPRODUCT((N13:O13=O21)*(P13="×"))+SUMPRODUCT((B15:C15=O21)*(D15="×"))+SUMPRODUCT((E15:F15=O21)*(G15="×"))+SUMPRODUCT((H15:I15=O21)*(J15="×"))+SUMPRODUCT((K15:L15=O21)*(M15="×"))+SUMPRODUCT((N15:O15=O21)*(P15="×"))+SUMPRODUCT((B17:C17=O21)*(D17="×"))+SUMPRODUCT((E17:F17=O21)*(G17="×"))+SUMPRODUCT((H17:I17=O21)*(J17="×"))+SUMPRODUCT((K17:L17=O21)*(M17="×"))+SUMPRODUCT((N17:O17=O21)*(P17="×"))))</f>
        <v/>
      </c>
      <c r="P23" s="20">
        <f>IF(SUM(B23:O23)=0,"",SUM(B23:O23))</f>
        <v/>
      </c>
    </row>
    <row r="24" spans="1:16" ht="13.5" customHeight="1" x14ac:dyDescent="0.2">
      <c r="A24" s="36"/>
      <c r="B24" s="21">
        <f>IF(B21="","",IF(COUNTIF(B5:C5,B21)+COUNTIF(B5:C5,"*,"&amp;B21&amp;",*")+COUNTIF(E5:F5,B21)+COUNTIF(E5:F5,"*,"&amp;B21&amp;",*")+COUNTIF(H5:I5,B21)+COUNTIF(H5:I5,"*,"&amp;B21&amp;",*")+COUNTIF(K5:L5,B21)+COUNTIF(K5:L5,"*,"&amp;B21&amp;",*")+COUNTIF(N5:O5,B21)+COUNTIF(N5:O5,"*,"&amp;B21&amp;",*")+COUNTIF(B7:C7,B21)+COUNTIF(B7:C7,"*,"&amp;B21&amp;",*")+COUNTIF(E7:F7,B21)+COUNTIF(E7:F7,"*,"&amp;B21&amp;",*")+COUNTIF(H7:I7,B21)+COUNTIF(H7:I7,"*,"&amp;B21&amp;",*")+COUNTIF(K7:L7,B21)+COUNTIF(K7:L7,"*,"&amp;B21&amp;",*")+COUNTIF(N7:O7,B21)+COUNTIF(N7:O7,"*,"&amp;B21&amp;",*")+COUNTIF(B9:C9,B21)+COUNTIF(B9:C9,"*,"&amp;B21&amp;",*")+COUNTIF(E9:F9,B21)+COUNTIF(E9:F9,"*,"&amp;B21&amp;",*")+COUNTIF(H9:I9,B21)+COUNTIF(H9:I9,"*,"&amp;B21&amp;",*")+COUNTIF(K9:L9,B21)+COUNTIF(K9:L9,"*,"&amp;B21&amp;",*")+COUNTIF(N9:O9,B21)+COUNTIF(N9:O9,"*,"&amp;B21&amp;",*")+COUNTIF(B11:C11,B21)+COUNTIF(B11:C11,"*,"&amp;B21&amp;",*")+COUNTIF(E11:F11,B21)+COUNTIF(E11:F11,"*,"&amp;B21&amp;",*")+COUNTIF(H11:I11,B21)+COUNTIF(H11:I11,"*,"&amp;B21&amp;",*")+COUNTIF(K11:L11,B21)+COUNTIF(K11:L11,"*,"&amp;B21&amp;",*")+COUNTIF(N11:O11,B21)+COUNTIF(N11:O11,"*,"&amp;B21&amp;",*")+COUNTIF(B13:C13,B21)+COUNTIF(B13:C13,"*,"&amp;B21&amp;",*")+COUNTIF(E13:F13,B21)+COUNTIF(E13:F13,"*,"&amp;B21&amp;",*")+COUNTIF(H13:I13,B21)+COUNTIF(H13:I13,"*,"&amp;B21&amp;",*")+COUNTIF(K13:L13,B21)+COUNTIF(K13:L13,"*,"&amp;B21&amp;",*")+COUNTIF(N13:O13,B21)+COUNTIF(N13:O13,"*,"&amp;B21&amp;",*")+COUNTIF(B15:C15,B21)+COUNTIF(B15:C15,"*,"&amp;B21&amp;",*")+COUNTIF(E15:F15,B21)+COUNTIF(E15:F15,"*,"&amp;B21&amp;",*")+COUNTIF(H15:I15,B21)+COUNTIF(H15:I15,"*,"&amp;B21&amp;",*")+COUNTIF(K15:L15,B21)+COUNTIF(K15:L15,"*,"&amp;B21&amp;",*")+COUNTIF(N15:O15,B21)+COUNTIF(N15:O15,"*,"&amp;B21&amp;",*")+COUNTIF(B17:C17,B21)+COUNTIF(B17:C17,"*,"&amp;B21&amp;",*")+COUNTIF(E17:F17,B21)+COUNTIF(E17:F17,"*,"&amp;B21&amp;",*")+COUNTIF(H17:I17,B21)+COUNTIF(H17:I17,"*,"&amp;B21&amp;",*")+COUNTIF(K17:L17,B21)+COUNTIF(K17:L17,"*,"&amp;B21&amp;",*")+COUNTIF(N17:O17,B21)+COUNTIF(N17:O17,"*,"&amp;B21&amp;",*")=0,"",COUNTIF(B5:C5,B21)+COUNTIF(B5:C5,"*,"&amp;B21&amp;",*")+COUNTIF(E5:F5,B21)+COUNTIF(E5:F5,"*,"&amp;B21&amp;",*")+COUNTIF(H5:I5,B21)+COUNTIF(H5:I5,"*,"&amp;B21&amp;",*")+COUNTIF(K5:L5,B21)+COUNTIF(K5:L5,"*,"&amp;B21&amp;",*")+COUNTIF(N5:O5,B21)+COUNTIF(N5:O5,"*,"&amp;B21&amp;",*")+COUNTIF(B7:C7,B21)+COUNTIF(B7:C7,"*,"&amp;B21&amp;",*")+COUNTIF(E7:F7,B21)+COUNTIF(E7:F7,"*,"&amp;B21&amp;",*")+COUNTIF(H7:I7,B21)+COUNTIF(H7:I7,"*,"&amp;B21&amp;",*")+COUNTIF(K7:L7,B21)+COUNTIF(K7:L7,"*,"&amp;B21&amp;",*")+COUNTIF(N7:O7,B21)+COUNTIF(N7:O7,"*,"&amp;B21&amp;",*")+COUNTIF(B9:C9,B21)+COUNTIF(B9:C9,"*,"&amp;B21&amp;",*")+COUNTIF(E9:F9,B21)+COUNTIF(E9:F9,"*,"&amp;B21&amp;",*")+COUNTIF(H9:I9,B21)+COUNTIF(H9:I9,"*,"&amp;B21&amp;",*")+COUNTIF(K9:L9,B21)+COUNTIF(K9:L9,"*,"&amp;B21&amp;",*")+COUNTIF(N9:O9,B21)+COUNTIF(N9:O9,"*,"&amp;B21&amp;",*")+COUNTIF(B11:C11,B21)+COUNTIF(B11:C11,"*,"&amp;B21&amp;",*")+COUNTIF(E11:F11,B21)+COUNTIF(E11:F11,"*,"&amp;B21&amp;",*")+COUNTIF(H11:I11,B21)+COUNTIF(H11:I11,"*,"&amp;B21&amp;",*")+COUNTIF(K11:L11,B21)+COUNTIF(K11:L11,"*,"&amp;B21&amp;",*")+COUNTIF(N11:O11,B21)+COUNTIF(N11:O11,"*,"&amp;B21&amp;",*")+COUNTIF(B13:C13,B21)+COUNTIF(B13:C13,"*,"&amp;B21&amp;",*")+COUNTIF(E13:F13,B21)+COUNTIF(E13:F13,"*,"&amp;B21&amp;",*")+COUNTIF(H13:I13,B21)+COUNTIF(H13:I13,"*,"&amp;B21&amp;",*")+COUNTIF(K13:L13,B21)+COUNTIF(K13:L13,"*,"&amp;B21&amp;",*")+COUNTIF(N13:O13,B21)+COUNTIF(N13:O13,"*,"&amp;B21&amp;",*")+COUNTIF(B15:C15,B21)+COUNTIF(B15:C15,"*,"&amp;B21&amp;",*")+COUNTIF(E15:F15,B21)+COUNTIF(E15:F15,"*,"&amp;B21&amp;",*")+COUNTIF(H15:I15,B21)+COUNTIF(H15:I15,"*,"&amp;B21&amp;",*")+COUNTIF(K15:L15,B21)+COUNTIF(K15:L15,"*,"&amp;B21&amp;",*")+COUNTIF(N15:O15,B21)+COUNTIF(N15:O15,"*,"&amp;B21&amp;",*")+COUNTIF(B17:C17,B21)+COUNTIF(B17:C17,"*,"&amp;B21&amp;",*")+COUNTIF(E17:F17,B21)+COUNTIF(E17:F17,"*,"&amp;B21&amp;",*")+COUNTIF(H17:I17,B21)+COUNTIF(H17:I17,"*,"&amp;B21&amp;",*")+COUNTIF(K17:L17,B21)+COUNTIF(K17:L17,"*,"&amp;B21&amp;",*")+COUNTIF(N17:O17,B21)+COUNTIF(N17:O17,"*,"&amp;B21&amp;",*")))</f>
        <v/>
      </c>
      <c r="C24" s="21">
        <f>IF(C21="","",IF(COUNTIF(B5:C5,C21)+COUNTIF(B5:C5,"*,"&amp;C21&amp;",*")+COUNTIF(E5:F5,C21)+COUNTIF(E5:F5,"*,"&amp;C21&amp;",*")+COUNTIF(H5:I5,C21)+COUNTIF(H5:I5,"*,"&amp;C21&amp;",*")+COUNTIF(K5:L5,C21)+COUNTIF(K5:L5,"*,"&amp;C21&amp;",*")+COUNTIF(N5:O5,C21)+COUNTIF(N5:O5,"*,"&amp;C21&amp;",*")+COUNTIF(B7:C7,C21)+COUNTIF(B7:C7,"*,"&amp;C21&amp;",*")+COUNTIF(E7:F7,C21)+COUNTIF(E7:F7,"*,"&amp;C21&amp;",*")+COUNTIF(H7:I7,C21)+COUNTIF(H7:I7,"*,"&amp;C21&amp;",*")+COUNTIF(K7:L7,C21)+COUNTIF(K7:L7,"*,"&amp;C21&amp;",*")+COUNTIF(N7:O7,C21)+COUNTIF(N7:O7,"*,"&amp;C21&amp;",*")+COUNTIF(B9:C9,C21)+COUNTIF(B9:C9,"*,"&amp;C21&amp;",*")+COUNTIF(E9:F9,C21)+COUNTIF(E9:F9,"*,"&amp;C21&amp;",*")+COUNTIF(H9:I9,C21)+COUNTIF(H9:I9,"*,"&amp;C21&amp;",*")+COUNTIF(K9:L9,C21)+COUNTIF(K9:L9,"*,"&amp;C21&amp;",*")+COUNTIF(N9:O9,C21)+COUNTIF(N9:O9,"*,"&amp;C21&amp;",*")+COUNTIF(B11:C11,C21)+COUNTIF(B11:C11,"*,"&amp;C21&amp;",*")+COUNTIF(E11:F11,C21)+COUNTIF(E11:F11,"*,"&amp;C21&amp;",*")+COUNTIF(H11:I11,C21)+COUNTIF(H11:I11,"*,"&amp;C21&amp;",*")+COUNTIF(K11:L11,C21)+COUNTIF(K11:L11,"*,"&amp;C21&amp;",*")+COUNTIF(N11:O11,C21)+COUNTIF(N11:O11,"*,"&amp;C21&amp;",*")+COUNTIF(B13:C13,C21)+COUNTIF(B13:C13,"*,"&amp;C21&amp;",*")+COUNTIF(E13:F13,C21)+COUNTIF(E13:F13,"*,"&amp;C21&amp;",*")+COUNTIF(H13:I13,C21)+COUNTIF(H13:I13,"*,"&amp;C21&amp;",*")+COUNTIF(K13:L13,C21)+COUNTIF(K13:L13,"*,"&amp;C21&amp;",*")+COUNTIF(N13:O13,C21)+COUNTIF(N13:O13,"*,"&amp;C21&amp;",*")+COUNTIF(B15:C15,C21)+COUNTIF(B15:C15,"*,"&amp;C21&amp;",*")+COUNTIF(E15:F15,C21)+COUNTIF(E15:F15,"*,"&amp;C21&amp;",*")+COUNTIF(H15:I15,C21)+COUNTIF(H15:I15,"*,"&amp;C21&amp;",*")+COUNTIF(K15:L15,C21)+COUNTIF(K15:L15,"*,"&amp;C21&amp;",*")+COUNTIF(N15:O15,C21)+COUNTIF(N15:O15,"*,"&amp;C21&amp;",*")+COUNTIF(B17:C17,C21)+COUNTIF(B17:C17,"*,"&amp;C21&amp;",*")+COUNTIF(E17:F17,C21)+COUNTIF(E17:F17,"*,"&amp;C21&amp;",*")+COUNTIF(H17:I17,C21)+COUNTIF(H17:I17,"*,"&amp;C21&amp;",*")+COUNTIF(K17:L17,C21)+COUNTIF(K17:L17,"*,"&amp;C21&amp;",*")+COUNTIF(N17:O17,C21)+COUNTIF(N17:O17,"*,"&amp;C21&amp;",*")=0,"",COUNTIF(B5:C5,C21)+COUNTIF(B5:C5,"*,"&amp;C21&amp;",*")+COUNTIF(E5:F5,C21)+COUNTIF(E5:F5,"*,"&amp;C21&amp;",*")+COUNTIF(H5:I5,C21)+COUNTIF(H5:I5,"*,"&amp;C21&amp;",*")+COUNTIF(K5:L5,C21)+COUNTIF(K5:L5,"*,"&amp;C21&amp;",*")+COUNTIF(N5:O5,C21)+COUNTIF(N5:O5,"*,"&amp;C21&amp;",*")+COUNTIF(B7:C7,C21)+COUNTIF(B7:C7,"*,"&amp;C21&amp;",*")+COUNTIF(E7:F7,C21)+COUNTIF(E7:F7,"*,"&amp;C21&amp;",*")+COUNTIF(H7:I7,C21)+COUNTIF(H7:I7,"*,"&amp;C21&amp;",*")+COUNTIF(K7:L7,C21)+COUNTIF(K7:L7,"*,"&amp;C21&amp;",*")+COUNTIF(N7:O7,C21)+COUNTIF(N7:O7,"*,"&amp;C21&amp;",*")+COUNTIF(B9:C9,C21)+COUNTIF(B9:C9,"*,"&amp;C21&amp;",*")+COUNTIF(E9:F9,C21)+COUNTIF(E9:F9,"*,"&amp;C21&amp;",*")+COUNTIF(H9:I9,C21)+COUNTIF(H9:I9,"*,"&amp;C21&amp;",*")+COUNTIF(K9:L9,C21)+COUNTIF(K9:L9,"*,"&amp;C21&amp;",*")+COUNTIF(N9:O9,C21)+COUNTIF(N9:O9,"*,"&amp;C21&amp;",*")+COUNTIF(B11:C11,C21)+COUNTIF(B11:C11,"*,"&amp;C21&amp;",*")+COUNTIF(E11:F11,C21)+COUNTIF(E11:F11,"*,"&amp;C21&amp;",*")+COUNTIF(H11:I11,C21)+COUNTIF(H11:I11,"*,"&amp;C21&amp;",*")+COUNTIF(K11:L11,C21)+COUNTIF(K11:L11,"*,"&amp;C21&amp;",*")+COUNTIF(N11:O11,C21)+COUNTIF(N11:O11,"*,"&amp;C21&amp;",*")+COUNTIF(B13:C13,C21)+COUNTIF(B13:C13,"*,"&amp;C21&amp;",*")+COUNTIF(E13:F13,C21)+COUNTIF(E13:F13,"*,"&amp;C21&amp;",*")+COUNTIF(H13:I13,C21)+COUNTIF(H13:I13,"*,"&amp;C21&amp;",*")+COUNTIF(K13:L13,C21)+COUNTIF(K13:L13,"*,"&amp;C21&amp;",*")+COUNTIF(N13:O13,C21)+COUNTIF(N13:O13,"*,"&amp;C21&amp;",*")+COUNTIF(B15:C15,C21)+COUNTIF(B15:C15,"*,"&amp;C21&amp;",*")+COUNTIF(E15:F15,C21)+COUNTIF(E15:F15,"*,"&amp;C21&amp;",*")+COUNTIF(H15:I15,C21)+COUNTIF(H15:I15,"*,"&amp;C21&amp;",*")+COUNTIF(K15:L15,C21)+COUNTIF(K15:L15,"*,"&amp;C21&amp;",*")+COUNTIF(N15:O15,C21)+COUNTIF(N15:O15,"*,"&amp;C21&amp;",*")+COUNTIF(B17:C17,C21)+COUNTIF(B17:C17,"*,"&amp;C21&amp;",*")+COUNTIF(E17:F17,C21)+COUNTIF(E17:F17,"*,"&amp;C21&amp;",*")+COUNTIF(H17:I17,C21)+COUNTIF(H17:I17,"*,"&amp;C21&amp;",*")+COUNTIF(K17:L17,C21)+COUNTIF(K17:L17,"*,"&amp;C21&amp;",*")+COUNTIF(N17:O17,C21)+COUNTIF(N17:O17,"*,"&amp;C21&amp;",*")))</f>
        <v/>
      </c>
      <c r="D24" s="21">
        <f>IF(D21="","",IF(COUNTIF(B5:C5,D21)+COUNTIF(B5:C5,"*,"&amp;D21&amp;",*")+COUNTIF(E5:F5,D21)+COUNTIF(E5:F5,"*,"&amp;D21&amp;",*")+COUNTIF(H5:I5,D21)+COUNTIF(H5:I5,"*,"&amp;D21&amp;",*")+COUNTIF(K5:L5,D21)+COUNTIF(K5:L5,"*,"&amp;D21&amp;",*")+COUNTIF(N5:O5,D21)+COUNTIF(N5:O5,"*,"&amp;D21&amp;",*")+COUNTIF(B7:C7,D21)+COUNTIF(B7:C7,"*,"&amp;D21&amp;",*")+COUNTIF(E7:F7,D21)+COUNTIF(E7:F7,"*,"&amp;D21&amp;",*")+COUNTIF(H7:I7,D21)+COUNTIF(H7:I7,"*,"&amp;D21&amp;",*")+COUNTIF(K7:L7,D21)+COUNTIF(K7:L7,"*,"&amp;D21&amp;",*")+COUNTIF(N7:O7,D21)+COUNTIF(N7:O7,"*,"&amp;D21&amp;",*")+COUNTIF(B9:C9,D21)+COUNTIF(B9:C9,"*,"&amp;D21&amp;",*")+COUNTIF(E9:F9,D21)+COUNTIF(E9:F9,"*,"&amp;D21&amp;",*")+COUNTIF(H9:I9,D21)+COUNTIF(H9:I9,"*,"&amp;D21&amp;",*")+COUNTIF(K9:L9,D21)+COUNTIF(K9:L9,"*,"&amp;D21&amp;",*")+COUNTIF(N9:O9,D21)+COUNTIF(N9:O9,"*,"&amp;D21&amp;",*")+COUNTIF(B11:C11,D21)+COUNTIF(B11:C11,"*,"&amp;D21&amp;",*")+COUNTIF(E11:F11,D21)+COUNTIF(E11:F11,"*,"&amp;D21&amp;",*")+COUNTIF(H11:I11,D21)+COUNTIF(H11:I11,"*,"&amp;D21&amp;",*")+COUNTIF(K11:L11,D21)+COUNTIF(K11:L11,"*,"&amp;D21&amp;",*")+COUNTIF(N11:O11,D21)+COUNTIF(N11:O11,"*,"&amp;D21&amp;",*")+COUNTIF(B13:C13,D21)+COUNTIF(B13:C13,"*,"&amp;D21&amp;",*")+COUNTIF(E13:F13,D21)+COUNTIF(E13:F13,"*,"&amp;D21&amp;",*")+COUNTIF(H13:I13,D21)+COUNTIF(H13:I13,"*,"&amp;D21&amp;",*")+COUNTIF(K13:L13,D21)+COUNTIF(K13:L13,"*,"&amp;D21&amp;",*")+COUNTIF(N13:O13,D21)+COUNTIF(N13:O13,"*,"&amp;D21&amp;",*")+COUNTIF(B15:C15,D21)+COUNTIF(B15:C15,"*,"&amp;D21&amp;",*")+COUNTIF(E15:F15,D21)+COUNTIF(E15:F15,"*,"&amp;D21&amp;",*")+COUNTIF(H15:I15,D21)+COUNTIF(H15:I15,"*,"&amp;D21&amp;",*")+COUNTIF(K15:L15,D21)+COUNTIF(K15:L15,"*,"&amp;D21&amp;",*")+COUNTIF(N15:O15,D21)+COUNTIF(N15:O15,"*,"&amp;D21&amp;",*")+COUNTIF(B17:C17,D21)+COUNTIF(B17:C17,"*,"&amp;D21&amp;",*")+COUNTIF(E17:F17,D21)+COUNTIF(E17:F17,"*,"&amp;D21&amp;",*")+COUNTIF(H17:I17,D21)+COUNTIF(H17:I17,"*,"&amp;D21&amp;",*")+COUNTIF(K17:L17,D21)+COUNTIF(K17:L17,"*,"&amp;D21&amp;",*")+COUNTIF(N17:O17,D21)+COUNTIF(N17:O17,"*,"&amp;D21&amp;",*")=0,"",COUNTIF(B5:C5,D21)+COUNTIF(B5:C5,"*,"&amp;D21&amp;",*")+COUNTIF(E5:F5,D21)+COUNTIF(E5:F5,"*,"&amp;D21&amp;",*")+COUNTIF(H5:I5,D21)+COUNTIF(H5:I5,"*,"&amp;D21&amp;",*")+COUNTIF(K5:L5,D21)+COUNTIF(K5:L5,"*,"&amp;D21&amp;",*")+COUNTIF(N5:O5,D21)+COUNTIF(N5:O5,"*,"&amp;D21&amp;",*")+COUNTIF(B7:C7,D21)+COUNTIF(B7:C7,"*,"&amp;D21&amp;",*")+COUNTIF(E7:F7,D21)+COUNTIF(E7:F7,"*,"&amp;D21&amp;",*")+COUNTIF(H7:I7,D21)+COUNTIF(H7:I7,"*,"&amp;D21&amp;",*")+COUNTIF(K7:L7,D21)+COUNTIF(K7:L7,"*,"&amp;D21&amp;",*")+COUNTIF(N7:O7,D21)+COUNTIF(N7:O7,"*,"&amp;D21&amp;",*")+COUNTIF(B9:C9,D21)+COUNTIF(B9:C9,"*,"&amp;D21&amp;",*")+COUNTIF(E9:F9,D21)+COUNTIF(E9:F9,"*,"&amp;D21&amp;",*")+COUNTIF(H9:I9,D21)+COUNTIF(H9:I9,"*,"&amp;D21&amp;",*")+COUNTIF(K9:L9,D21)+COUNTIF(K9:L9,"*,"&amp;D21&amp;",*")+COUNTIF(N9:O9,D21)+COUNTIF(N9:O9,"*,"&amp;D21&amp;",*")+COUNTIF(B11:C11,D21)+COUNTIF(B11:C11,"*,"&amp;D21&amp;",*")+COUNTIF(E11:F11,D21)+COUNTIF(E11:F11,"*,"&amp;D21&amp;",*")+COUNTIF(H11:I11,D21)+COUNTIF(H11:I11,"*,"&amp;D21&amp;",*")+COUNTIF(K11:L11,D21)+COUNTIF(K11:L11,"*,"&amp;D21&amp;",*")+COUNTIF(N11:O11,D21)+COUNTIF(N11:O11,"*,"&amp;D21&amp;",*")+COUNTIF(B13:C13,D21)+COUNTIF(B13:C13,"*,"&amp;D21&amp;",*")+COUNTIF(E13:F13,D21)+COUNTIF(E13:F13,"*,"&amp;D21&amp;",*")+COUNTIF(H13:I13,D21)+COUNTIF(H13:I13,"*,"&amp;D21&amp;",*")+COUNTIF(K13:L13,D21)+COUNTIF(K13:L13,"*,"&amp;D21&amp;",*")+COUNTIF(N13:O13,D21)+COUNTIF(N13:O13,"*,"&amp;D21&amp;",*")+COUNTIF(B15:C15,D21)+COUNTIF(B15:C15,"*,"&amp;D21&amp;",*")+COUNTIF(E15:F15,D21)+COUNTIF(E15:F15,"*,"&amp;D21&amp;",*")+COUNTIF(H15:I15,D21)+COUNTIF(H15:I15,"*,"&amp;D21&amp;",*")+COUNTIF(K15:L15,D21)+COUNTIF(K15:L15,"*,"&amp;D21&amp;",*")+COUNTIF(N15:O15,D21)+COUNTIF(N15:O15,"*,"&amp;D21&amp;",*")+COUNTIF(B17:C17,D21)+COUNTIF(B17:C17,"*,"&amp;D21&amp;",*")+COUNTIF(E17:F17,D21)+COUNTIF(E17:F17,"*,"&amp;D21&amp;",*")+COUNTIF(H17:I17,D21)+COUNTIF(H17:I17,"*,"&amp;D21&amp;",*")+COUNTIF(K17:L17,D21)+COUNTIF(K17:L17,"*,"&amp;D21&amp;",*")+COUNTIF(N17:O17,D21)+COUNTIF(N17:O17,"*,"&amp;D21&amp;",*")))</f>
        <v/>
      </c>
      <c r="E24" s="21">
        <f>IF(E21="","",IF(COUNTIF(B5:C5,E21)+COUNTIF(B5:C5,"*,"&amp;E21&amp;",*")+COUNTIF(E5:F5,E21)+COUNTIF(E5:F5,"*,"&amp;E21&amp;",*")+COUNTIF(H5:I5,E21)+COUNTIF(H5:I5,"*,"&amp;E21&amp;",*")+COUNTIF(K5:L5,E21)+COUNTIF(K5:L5,"*,"&amp;E21&amp;",*")+COUNTIF(N5:O5,E21)+COUNTIF(N5:O5,"*,"&amp;E21&amp;",*")+COUNTIF(B7:C7,E21)+COUNTIF(B7:C7,"*,"&amp;E21&amp;",*")+COUNTIF(E7:F7,E21)+COUNTIF(E7:F7,"*,"&amp;E21&amp;",*")+COUNTIF(H7:I7,E21)+COUNTIF(H7:I7,"*,"&amp;E21&amp;",*")+COUNTIF(K7:L7,E21)+COUNTIF(K7:L7,"*,"&amp;E21&amp;",*")+COUNTIF(N7:O7,E21)+COUNTIF(N7:O7,"*,"&amp;E21&amp;",*")+COUNTIF(B9:C9,E21)+COUNTIF(B9:C9,"*,"&amp;E21&amp;",*")+COUNTIF(E9:F9,E21)+COUNTIF(E9:F9,"*,"&amp;E21&amp;",*")+COUNTIF(H9:I9,E21)+COUNTIF(H9:I9,"*,"&amp;E21&amp;",*")+COUNTIF(K9:L9,E21)+COUNTIF(K9:L9,"*,"&amp;E21&amp;",*")+COUNTIF(N9:O9,E21)+COUNTIF(N9:O9,"*,"&amp;E21&amp;",*")+COUNTIF(B11:C11,E21)+COUNTIF(B11:C11,"*,"&amp;E21&amp;",*")+COUNTIF(E11:F11,E21)+COUNTIF(E11:F11,"*,"&amp;E21&amp;",*")+COUNTIF(H11:I11,E21)+COUNTIF(H11:I11,"*,"&amp;E21&amp;",*")+COUNTIF(K11:L11,E21)+COUNTIF(K11:L11,"*,"&amp;E21&amp;",*")+COUNTIF(N11:O11,E21)+COUNTIF(N11:O11,"*,"&amp;E21&amp;",*")+COUNTIF(B13:C13,E21)+COUNTIF(B13:C13,"*,"&amp;E21&amp;",*")+COUNTIF(E13:F13,E21)+COUNTIF(E13:F13,"*,"&amp;E21&amp;",*")+COUNTIF(H13:I13,E21)+COUNTIF(H13:I13,"*,"&amp;E21&amp;",*")+COUNTIF(K13:L13,E21)+COUNTIF(K13:L13,"*,"&amp;E21&amp;",*")+COUNTIF(N13:O13,E21)+COUNTIF(N13:O13,"*,"&amp;E21&amp;",*")+COUNTIF(B15:C15,E21)+COUNTIF(B15:C15,"*,"&amp;E21&amp;",*")+COUNTIF(E15:F15,E21)+COUNTIF(E15:F15,"*,"&amp;E21&amp;",*")+COUNTIF(H15:I15,E21)+COUNTIF(H15:I15,"*,"&amp;E21&amp;",*")+COUNTIF(K15:L15,E21)+COUNTIF(K15:L15,"*,"&amp;E21&amp;",*")+COUNTIF(N15:O15,E21)+COUNTIF(N15:O15,"*,"&amp;E21&amp;",*")+COUNTIF(B17:C17,E21)+COUNTIF(B17:C17,"*,"&amp;E21&amp;",*")+COUNTIF(E17:F17,E21)+COUNTIF(E17:F17,"*,"&amp;E21&amp;",*")+COUNTIF(H17:I17,E21)+COUNTIF(H17:I17,"*,"&amp;E21&amp;",*")+COUNTIF(K17:L17,E21)+COUNTIF(K17:L17,"*,"&amp;E21&amp;",*")+COUNTIF(N17:O17,E21)+COUNTIF(N17:O17,"*,"&amp;E21&amp;",*")=0,"",COUNTIF(B5:C5,E21)+COUNTIF(B5:C5,"*,"&amp;E21&amp;",*")+COUNTIF(E5:F5,E21)+COUNTIF(E5:F5,"*,"&amp;E21&amp;",*")+COUNTIF(H5:I5,E21)+COUNTIF(H5:I5,"*,"&amp;E21&amp;",*")+COUNTIF(K5:L5,E21)+COUNTIF(K5:L5,"*,"&amp;E21&amp;",*")+COUNTIF(N5:O5,E21)+COUNTIF(N5:O5,"*,"&amp;E21&amp;",*")+COUNTIF(B7:C7,E21)+COUNTIF(B7:C7,"*,"&amp;E21&amp;",*")+COUNTIF(E7:F7,E21)+COUNTIF(E7:F7,"*,"&amp;E21&amp;",*")+COUNTIF(H7:I7,E21)+COUNTIF(H7:I7,"*,"&amp;E21&amp;",*")+COUNTIF(K7:L7,E21)+COUNTIF(K7:L7,"*,"&amp;E21&amp;",*")+COUNTIF(N7:O7,E21)+COUNTIF(N7:O7,"*,"&amp;E21&amp;",*")+COUNTIF(B9:C9,E21)+COUNTIF(B9:C9,"*,"&amp;E21&amp;",*")+COUNTIF(E9:F9,E21)+COUNTIF(E9:F9,"*,"&amp;E21&amp;",*")+COUNTIF(H9:I9,E21)+COUNTIF(H9:I9,"*,"&amp;E21&amp;",*")+COUNTIF(K9:L9,E21)+COUNTIF(K9:L9,"*,"&amp;E21&amp;",*")+COUNTIF(N9:O9,E21)+COUNTIF(N9:O9,"*,"&amp;E21&amp;",*")+COUNTIF(B11:C11,E21)+COUNTIF(B11:C11,"*,"&amp;E21&amp;",*")+COUNTIF(E11:F11,E21)+COUNTIF(E11:F11,"*,"&amp;E21&amp;",*")+COUNTIF(H11:I11,E21)+COUNTIF(H11:I11,"*,"&amp;E21&amp;",*")+COUNTIF(K11:L11,E21)+COUNTIF(K11:L11,"*,"&amp;E21&amp;",*")+COUNTIF(N11:O11,E21)+COUNTIF(N11:O11,"*,"&amp;E21&amp;",*")+COUNTIF(B13:C13,E21)+COUNTIF(B13:C13,"*,"&amp;E21&amp;",*")+COUNTIF(E13:F13,E21)+COUNTIF(E13:F13,"*,"&amp;E21&amp;",*")+COUNTIF(H13:I13,E21)+COUNTIF(H13:I13,"*,"&amp;E21&amp;",*")+COUNTIF(K13:L13,E21)+COUNTIF(K13:L13,"*,"&amp;E21&amp;",*")+COUNTIF(N13:O13,E21)+COUNTIF(N13:O13,"*,"&amp;E21&amp;",*")+COUNTIF(B15:C15,E21)+COUNTIF(B15:C15,"*,"&amp;E21&amp;",*")+COUNTIF(E15:F15,E21)+COUNTIF(E15:F15,"*,"&amp;E21&amp;",*")+COUNTIF(H15:I15,E21)+COUNTIF(H15:I15,"*,"&amp;E21&amp;",*")+COUNTIF(K15:L15,E21)+COUNTIF(K15:L15,"*,"&amp;E21&amp;",*")+COUNTIF(N15:O15,E21)+COUNTIF(N15:O15,"*,"&amp;E21&amp;",*")+COUNTIF(B17:C17,E21)+COUNTIF(B17:C17,"*,"&amp;E21&amp;",*")+COUNTIF(E17:F17,E21)+COUNTIF(E17:F17,"*,"&amp;E21&amp;",*")+COUNTIF(H17:I17,E21)+COUNTIF(H17:I17,"*,"&amp;E21&amp;",*")+COUNTIF(K17:L17,E21)+COUNTIF(K17:L17,"*,"&amp;E21&amp;",*")+COUNTIF(N17:O17,E21)+COUNTIF(N17:O17,"*,"&amp;E21&amp;",*")))</f>
        <v/>
      </c>
      <c r="F24" s="21">
        <f>IF(F21="","",IF(COUNTIF(B5:C5,F21)+COUNTIF(B5:C5,"*,"&amp;F21&amp;",*")+COUNTIF(E5:F5,F21)+COUNTIF(E5:F5,"*,"&amp;F21&amp;",*")+COUNTIF(H5:I5,F21)+COUNTIF(H5:I5,"*,"&amp;F21&amp;",*")+COUNTIF(K5:L5,F21)+COUNTIF(K5:L5,"*,"&amp;F21&amp;",*")+COUNTIF(N5:O5,F21)+COUNTIF(N5:O5,"*,"&amp;F21&amp;",*")+COUNTIF(B7:C7,F21)+COUNTIF(B7:C7,"*,"&amp;F21&amp;",*")+COUNTIF(E7:F7,F21)+COUNTIF(E7:F7,"*,"&amp;F21&amp;",*")+COUNTIF(H7:I7,F21)+COUNTIF(H7:I7,"*,"&amp;F21&amp;",*")+COUNTIF(K7:L7,F21)+COUNTIF(K7:L7,"*,"&amp;F21&amp;",*")+COUNTIF(N7:O7,F21)+COUNTIF(N7:O7,"*,"&amp;F21&amp;",*")+COUNTIF(B9:C9,F21)+COUNTIF(B9:C9,"*,"&amp;F21&amp;",*")+COUNTIF(E9:F9,F21)+COUNTIF(E9:F9,"*,"&amp;F21&amp;",*")+COUNTIF(H9:I9,F21)+COUNTIF(H9:I9,"*,"&amp;F21&amp;",*")+COUNTIF(K9:L9,F21)+COUNTIF(K9:L9,"*,"&amp;F21&amp;",*")+COUNTIF(N9:O9,F21)+COUNTIF(N9:O9,"*,"&amp;F21&amp;",*")+COUNTIF(B11:C11,F21)+COUNTIF(B11:C11,"*,"&amp;F21&amp;",*")+COUNTIF(E11:F11,F21)+COUNTIF(E11:F11,"*,"&amp;F21&amp;",*")+COUNTIF(H11:I11,F21)+COUNTIF(H11:I11,"*,"&amp;F21&amp;",*")+COUNTIF(K11:L11,F21)+COUNTIF(K11:L11,"*,"&amp;F21&amp;",*")+COUNTIF(N11:O11,F21)+COUNTIF(N11:O11,"*,"&amp;F21&amp;",*")+COUNTIF(B13:C13,F21)+COUNTIF(B13:C13,"*,"&amp;F21&amp;",*")+COUNTIF(E13:F13,F21)+COUNTIF(E13:F13,"*,"&amp;F21&amp;",*")+COUNTIF(H13:I13,F21)+COUNTIF(H13:I13,"*,"&amp;F21&amp;",*")+COUNTIF(K13:L13,F21)+COUNTIF(K13:L13,"*,"&amp;F21&amp;",*")+COUNTIF(N13:O13,F21)+COUNTIF(N13:O13,"*,"&amp;F21&amp;",*")+COUNTIF(B15:C15,F21)+COUNTIF(B15:C15,"*,"&amp;F21&amp;",*")+COUNTIF(E15:F15,F21)+COUNTIF(E15:F15,"*,"&amp;F21&amp;",*")+COUNTIF(H15:I15,F21)+COUNTIF(H15:I15,"*,"&amp;F21&amp;",*")+COUNTIF(K15:L15,F21)+COUNTIF(K15:L15,"*,"&amp;F21&amp;",*")+COUNTIF(N15:O15,F21)+COUNTIF(N15:O15,"*,"&amp;F21&amp;",*")+COUNTIF(B17:C17,F21)+COUNTIF(B17:C17,"*,"&amp;F21&amp;",*")+COUNTIF(E17:F17,F21)+COUNTIF(E17:F17,"*,"&amp;F21&amp;",*")+COUNTIF(H17:I17,F21)+COUNTIF(H17:I17,"*,"&amp;F21&amp;",*")+COUNTIF(K17:L17,F21)+COUNTIF(K17:L17,"*,"&amp;F21&amp;",*")+COUNTIF(N17:O17,F21)+COUNTIF(N17:O17,"*,"&amp;F21&amp;",*")=0,"",COUNTIF(B5:C5,F21)+COUNTIF(B5:C5,"*,"&amp;F21&amp;",*")+COUNTIF(E5:F5,F21)+COUNTIF(E5:F5,"*,"&amp;F21&amp;",*")+COUNTIF(H5:I5,F21)+COUNTIF(H5:I5,"*,"&amp;F21&amp;",*")+COUNTIF(K5:L5,F21)+COUNTIF(K5:L5,"*,"&amp;F21&amp;",*")+COUNTIF(N5:O5,F21)+COUNTIF(N5:O5,"*,"&amp;F21&amp;",*")+COUNTIF(B7:C7,F21)+COUNTIF(B7:C7,"*,"&amp;F21&amp;",*")+COUNTIF(E7:F7,F21)+COUNTIF(E7:F7,"*,"&amp;F21&amp;",*")+COUNTIF(H7:I7,F21)+COUNTIF(H7:I7,"*,"&amp;F21&amp;",*")+COUNTIF(K7:L7,F21)+COUNTIF(K7:L7,"*,"&amp;F21&amp;",*")+COUNTIF(N7:O7,F21)+COUNTIF(N7:O7,"*,"&amp;F21&amp;",*")+COUNTIF(B9:C9,F21)+COUNTIF(B9:C9,"*,"&amp;F21&amp;",*")+COUNTIF(E9:F9,F21)+COUNTIF(E9:F9,"*,"&amp;F21&amp;",*")+COUNTIF(H9:I9,F21)+COUNTIF(H9:I9,"*,"&amp;F21&amp;",*")+COUNTIF(K9:L9,F21)+COUNTIF(K9:L9,"*,"&amp;F21&amp;",*")+COUNTIF(N9:O9,F21)+COUNTIF(N9:O9,"*,"&amp;F21&amp;",*")+COUNTIF(B11:C11,F21)+COUNTIF(B11:C11,"*,"&amp;F21&amp;",*")+COUNTIF(E11:F11,F21)+COUNTIF(E11:F11,"*,"&amp;F21&amp;",*")+COUNTIF(H11:I11,F21)+COUNTIF(H11:I11,"*,"&amp;F21&amp;",*")+COUNTIF(K11:L11,F21)+COUNTIF(K11:L11,"*,"&amp;F21&amp;",*")+COUNTIF(N11:O11,F21)+COUNTIF(N11:O11,"*,"&amp;F21&amp;",*")+COUNTIF(B13:C13,F21)+COUNTIF(B13:C13,"*,"&amp;F21&amp;",*")+COUNTIF(E13:F13,F21)+COUNTIF(E13:F13,"*,"&amp;F21&amp;",*")+COUNTIF(H13:I13,F21)+COUNTIF(H13:I13,"*,"&amp;F21&amp;",*")+COUNTIF(K13:L13,F21)+COUNTIF(K13:L13,"*,"&amp;F21&amp;",*")+COUNTIF(N13:O13,F21)+COUNTIF(N13:O13,"*,"&amp;F21&amp;",*")+COUNTIF(B15:C15,F21)+COUNTIF(B15:C15,"*,"&amp;F21&amp;",*")+COUNTIF(E15:F15,F21)+COUNTIF(E15:F15,"*,"&amp;F21&amp;",*")+COUNTIF(H15:I15,F21)+COUNTIF(H15:I15,"*,"&amp;F21&amp;",*")+COUNTIF(K15:L15,F21)+COUNTIF(K15:L15,"*,"&amp;F21&amp;",*")+COUNTIF(N15:O15,F21)+COUNTIF(N15:O15,"*,"&amp;F21&amp;",*")+COUNTIF(B17:C17,F21)+COUNTIF(B17:C17,"*,"&amp;F21&amp;",*")+COUNTIF(E17:F17,F21)+COUNTIF(E17:F17,"*,"&amp;F21&amp;",*")+COUNTIF(H17:I17,F21)+COUNTIF(H17:I17,"*,"&amp;F21&amp;",*")+COUNTIF(K17:L17,F21)+COUNTIF(K17:L17,"*,"&amp;F21&amp;",*")+COUNTIF(N17:O17,F21)+COUNTIF(N17:O17,"*,"&amp;F21&amp;",*")))</f>
        <v/>
      </c>
      <c r="G24" s="21">
        <f>IF(G21="","",IF(COUNTIF(B5:C5,G21)+COUNTIF(B5:C5,"*,"&amp;G21&amp;",*")+COUNTIF(E5:F5,G21)+COUNTIF(E5:F5,"*,"&amp;G21&amp;",*")+COUNTIF(H5:I5,G21)+COUNTIF(H5:I5,"*,"&amp;G21&amp;",*")+COUNTIF(K5:L5,G21)+COUNTIF(K5:L5,"*,"&amp;G21&amp;",*")+COUNTIF(N5:O5,G21)+COUNTIF(N5:O5,"*,"&amp;G21&amp;",*")+COUNTIF(B7:C7,G21)+COUNTIF(B7:C7,"*,"&amp;G21&amp;",*")+COUNTIF(E7:F7,G21)+COUNTIF(E7:F7,"*,"&amp;G21&amp;",*")+COUNTIF(H7:I7,G21)+COUNTIF(H7:I7,"*,"&amp;G21&amp;",*")+COUNTIF(K7:L7,G21)+COUNTIF(K7:L7,"*,"&amp;G21&amp;",*")+COUNTIF(N7:O7,G21)+COUNTIF(N7:O7,"*,"&amp;G21&amp;",*")+COUNTIF(B9:C9,G21)+COUNTIF(B9:C9,"*,"&amp;G21&amp;",*")+COUNTIF(E9:F9,G21)+COUNTIF(E9:F9,"*,"&amp;G21&amp;",*")+COUNTIF(H9:I9,G21)+COUNTIF(H9:I9,"*,"&amp;G21&amp;",*")+COUNTIF(K9:L9,G21)+COUNTIF(K9:L9,"*,"&amp;G21&amp;",*")+COUNTIF(N9:O9,G21)+COUNTIF(N9:O9,"*,"&amp;G21&amp;",*")+COUNTIF(B11:C11,G21)+COUNTIF(B11:C11,"*,"&amp;G21&amp;",*")+COUNTIF(E11:F11,G21)+COUNTIF(E11:F11,"*,"&amp;G21&amp;",*")+COUNTIF(H11:I11,G21)+COUNTIF(H11:I11,"*,"&amp;G21&amp;",*")+COUNTIF(K11:L11,G21)+COUNTIF(K11:L11,"*,"&amp;G21&amp;",*")+COUNTIF(N11:O11,G21)+COUNTIF(N11:O11,"*,"&amp;G21&amp;",*")+COUNTIF(B13:C13,G21)+COUNTIF(B13:C13,"*,"&amp;G21&amp;",*")+COUNTIF(E13:F13,G21)+COUNTIF(E13:F13,"*,"&amp;G21&amp;",*")+COUNTIF(H13:I13,G21)+COUNTIF(H13:I13,"*,"&amp;G21&amp;",*")+COUNTIF(K13:L13,G21)+COUNTIF(K13:L13,"*,"&amp;G21&amp;",*")+COUNTIF(N13:O13,G21)+COUNTIF(N13:O13,"*,"&amp;G21&amp;",*")+COUNTIF(B15:C15,G21)+COUNTIF(B15:C15,"*,"&amp;G21&amp;",*")+COUNTIF(E15:F15,G21)+COUNTIF(E15:F15,"*,"&amp;G21&amp;",*")+COUNTIF(H15:I15,G21)+COUNTIF(H15:I15,"*,"&amp;G21&amp;",*")+COUNTIF(K15:L15,G21)+COUNTIF(K15:L15,"*,"&amp;G21&amp;",*")+COUNTIF(N15:O15,G21)+COUNTIF(N15:O15,"*,"&amp;G21&amp;",*")+COUNTIF(B17:C17,G21)+COUNTIF(B17:C17,"*,"&amp;G21&amp;",*")+COUNTIF(E17:F17,G21)+COUNTIF(E17:F17,"*,"&amp;G21&amp;",*")+COUNTIF(H17:I17,G21)+COUNTIF(H17:I17,"*,"&amp;G21&amp;",*")+COUNTIF(K17:L17,G21)+COUNTIF(K17:L17,"*,"&amp;G21&amp;",*")+COUNTIF(N17:O17,G21)+COUNTIF(N17:O17,"*,"&amp;G21&amp;",*")=0,"",COUNTIF(B5:C5,G21)+COUNTIF(B5:C5,"*,"&amp;G21&amp;",*")+COUNTIF(E5:F5,G21)+COUNTIF(E5:F5,"*,"&amp;G21&amp;",*")+COUNTIF(H5:I5,G21)+COUNTIF(H5:I5,"*,"&amp;G21&amp;",*")+COUNTIF(K5:L5,G21)+COUNTIF(K5:L5,"*,"&amp;G21&amp;",*")+COUNTIF(N5:O5,G21)+COUNTIF(N5:O5,"*,"&amp;G21&amp;",*")+COUNTIF(B7:C7,G21)+COUNTIF(B7:C7,"*,"&amp;G21&amp;",*")+COUNTIF(E7:F7,G21)+COUNTIF(E7:F7,"*,"&amp;G21&amp;",*")+COUNTIF(H7:I7,G21)+COUNTIF(H7:I7,"*,"&amp;G21&amp;",*")+COUNTIF(K7:L7,G21)+COUNTIF(K7:L7,"*,"&amp;G21&amp;",*")+COUNTIF(N7:O7,G21)+COUNTIF(N7:O7,"*,"&amp;G21&amp;",*")+COUNTIF(B9:C9,G21)+COUNTIF(B9:C9,"*,"&amp;G21&amp;",*")+COUNTIF(E9:F9,G21)+COUNTIF(E9:F9,"*,"&amp;G21&amp;",*")+COUNTIF(H9:I9,G21)+COUNTIF(H9:I9,"*,"&amp;G21&amp;",*")+COUNTIF(K9:L9,G21)+COUNTIF(K9:L9,"*,"&amp;G21&amp;",*")+COUNTIF(N9:O9,G21)+COUNTIF(N9:O9,"*,"&amp;G21&amp;",*")+COUNTIF(B11:C11,G21)+COUNTIF(B11:C11,"*,"&amp;G21&amp;",*")+COUNTIF(E11:F11,G21)+COUNTIF(E11:F11,"*,"&amp;G21&amp;",*")+COUNTIF(H11:I11,G21)+COUNTIF(H11:I11,"*,"&amp;G21&amp;",*")+COUNTIF(K11:L11,G21)+COUNTIF(K11:L11,"*,"&amp;G21&amp;",*")+COUNTIF(N11:O11,G21)+COUNTIF(N11:O11,"*,"&amp;G21&amp;",*")+COUNTIF(B13:C13,G21)+COUNTIF(B13:C13,"*,"&amp;G21&amp;",*")+COUNTIF(E13:F13,G21)+COUNTIF(E13:F13,"*,"&amp;G21&amp;",*")+COUNTIF(H13:I13,G21)+COUNTIF(H13:I13,"*,"&amp;G21&amp;",*")+COUNTIF(K13:L13,G21)+COUNTIF(K13:L13,"*,"&amp;G21&amp;",*")+COUNTIF(N13:O13,G21)+COUNTIF(N13:O13,"*,"&amp;G21&amp;",*")+COUNTIF(B15:C15,G21)+COUNTIF(B15:C15,"*,"&amp;G21&amp;",*")+COUNTIF(E15:F15,G21)+COUNTIF(E15:F15,"*,"&amp;G21&amp;",*")+COUNTIF(H15:I15,G21)+COUNTIF(H15:I15,"*,"&amp;G21&amp;",*")+COUNTIF(K15:L15,G21)+COUNTIF(K15:L15,"*,"&amp;G21&amp;",*")+COUNTIF(N15:O15,G21)+COUNTIF(N15:O15,"*,"&amp;G21&amp;",*")+COUNTIF(B17:C17,G21)+COUNTIF(B17:C17,"*,"&amp;G21&amp;",*")+COUNTIF(E17:F17,G21)+COUNTIF(E17:F17,"*,"&amp;G21&amp;",*")+COUNTIF(H17:I17,G21)+COUNTIF(H17:I17,"*,"&amp;G21&amp;",*")+COUNTIF(K17:L17,G21)+COUNTIF(K17:L17,"*,"&amp;G21&amp;",*")+COUNTIF(N17:O17,G21)+COUNTIF(N17:O17,"*,"&amp;G21&amp;",*")))</f>
        <v/>
      </c>
      <c r="H24" s="21"/>
      <c r="I24" s="21"/>
      <c r="J24" s="21"/>
      <c r="K24" s="21"/>
      <c r="L24" s="21"/>
      <c r="M24" s="21">
        <f>IF(COUNTIF(B5:C5,"特活")+COUNTIF(B5:C5,"学活")+COUNTIF(E5:F5,"特活")+COUNTIF(E5:F5,"学活")+COUNTIF(H5:I5,"特活")+COUNTIF(H5:I5,"学活")+COUNTIF(K5:L5,"特活")+COUNTIF(K5:L5,"学活")+COUNTIF(N5:O5,"特活")+COUNTIF(N5:O5,"学活")+COUNTIF(B7:C7,"特活")+COUNTIF(B7:C7,"学活")+COUNTIF(E7:F7,"特活")+COUNTIF(E7:F7,"学活")+COUNTIF(H7:I7,"特活")+COUNTIF(H7:I7,"学活")+COUNTIF(K7:L7,"特活")+COUNTIF(K7:L7,"学活")+COUNTIF(N7:O7,"特活")+COUNTIF(N7:O7,"学活")+COUNTIF(B9:C9,"特活")+COUNTIF(B9:C9,"学活")+COUNTIF(E9:F9,"特活")+COUNTIF(E9:F9,"学活")+COUNTIF(H9:I9,"特活")+COUNTIF(H9:I9,"学活")+COUNTIF(K9:L9,"特活")+COUNTIF(K9:L9,"学活")+COUNTIF(N9:O9,"特活")+COUNTIF(N9:O9,"学活")+COUNTIF(B11:C11,"特活")+COUNTIF(B11:C11,"学活")+COUNTIF(E11:F11,"特活")+COUNTIF(E11:F11,"学活")+COUNTIF(H11:I11,"特活")+COUNTIF(H11:I11,"学活")+COUNTIF(K11:L11,"特活")+COUNTIF(K11:L11,"学活")+COUNTIF(N11:O11,"特活")+COUNTIF(N11:O11,"学活")+COUNTIF(B13:C13,"特活")+COUNTIF(B13:C13,"学活")+COUNTIF(E13:F13,"特活")+COUNTIF(E13:F13,"学活")+COUNTIF(H13:I13,"特活")+COUNTIF(H13:I13,"学活")+COUNTIF(K13:L13,"特活")+COUNTIF(K13:L13,"学活")+COUNTIF(N13:O13,"特活")+COUNTIF(N13:O13,"学活")+COUNTIF(B15:C15,"特活")+COUNTIF(B15:C15,"学活")+COUNTIF(E15:F15,"特活")+COUNTIF(E15:F15,"学活")+COUNTIF(H15:I15,"特活")+COUNTIF(H15:I15,"学活")+COUNTIF(K15:L15,"特活")+COUNTIF(K15:L15,"学活")+COUNTIF(N15:O15,"特活")+COUNTIF(N15:O15,"学活")+COUNTIF(B17:C17,"特活")+COUNTIF(B17:C17,"学活")+COUNTIF(E17:F17,"特活")+COUNTIF(E17:F17,"学活")+COUNTIF(H17:I17,"特活")+COUNTIF(H17:I17,"学活")+COUNTIF(K17:L17,"特活")+COUNTIF(K17:L17,"学活")+COUNTIF(N17:O17,"特活")+COUNTIF(N17:O17,"学活")=0,"",COUNTIF(B5:C5,"特活")+COUNTIF(B5:C5,"学活")+COUNTIF(E5:F5,"特活")+COUNTIF(E5:F5,"学活")+COUNTIF(H5:I5,"特活")+COUNTIF(H5:I5,"学活")+COUNTIF(K5:L5,"特活")+COUNTIF(K5:L5,"学活")+COUNTIF(N5:O5,"特活")+COUNTIF(N5:O5,"学活")+COUNTIF(B7:C7,"特活")+COUNTIF(B7:C7,"学活")+COUNTIF(E7:F7,"特活")+COUNTIF(E7:F7,"学活")+COUNTIF(H7:I7,"特活")+COUNTIF(H7:I7,"学活")+COUNTIF(K7:L7,"特活")+COUNTIF(K7:L7,"学活")+COUNTIF(N7:O7,"特活")+COUNTIF(N7:O7,"学活")+COUNTIF(B9:C9,"特活")+COUNTIF(B9:C9,"学活")+COUNTIF(E9:F9,"特活")+COUNTIF(E9:F9,"学活")+COUNTIF(H9:I9,"特活")+COUNTIF(H9:I9,"学活")+COUNTIF(K9:L9,"特活")+COUNTIF(K9:L9,"学活")+COUNTIF(N9:O9,"特活")+COUNTIF(N9:O9,"学活")+COUNTIF(B11:C11,"特活")+COUNTIF(B11:C11,"学活")+COUNTIF(E11:F11,"特活")+COUNTIF(E11:F11,"学活")+COUNTIF(H11:I11,"特活")+COUNTIF(H11:I11,"学活")+COUNTIF(K11:L11,"特活")+COUNTIF(K11:L11,"学活")+COUNTIF(N11:O11,"特活")+COUNTIF(N11:O11,"学活")+COUNTIF(B13:C13,"特活")+COUNTIF(B13:C13,"学活")+COUNTIF(E13:F13,"特活")+COUNTIF(E13:F13,"学活")+COUNTIF(H13:I13,"特活")+COUNTIF(H13:I13,"学活")+COUNTIF(K13:L13,"特活")+COUNTIF(K13:L13,"学活")+COUNTIF(N13:O13,"特活")+COUNTIF(N13:O13,"学活")+COUNTIF(B15:C15,"特活")+COUNTIF(B15:C15,"学活")+COUNTIF(E15:F15,"特活")+COUNTIF(E15:F15,"学活")+COUNTIF(H15:I15,"特活")+COUNTIF(H15:I15,"学活")+COUNTIF(K15:L15,"特活")+COUNTIF(K15:L15,"学活")+COUNTIF(N15:O15,"特活")+COUNTIF(N15:O15,"学活")+COUNTIF(B17:C17,"特活")+COUNTIF(B17:C17,"学活")+COUNTIF(E17:F17,"特活")+COUNTIF(E17:F17,"学活")+COUNTIF(H17:I17,"特活")+COUNTIF(H17:I17,"学活")+COUNTIF(K17:L17,"特活")+COUNTIF(K17:L17,"学活")+COUNTIF(N17:O17,"特活")+COUNTIF(N17:O17,"学活"))</f>
        <v/>
      </c>
      <c r="N24" s="21">
        <f>IF(COUNTIF(B5:C5,N21)+COUNTIF(B5:C5,"*,"&amp;N21&amp;",*")+COUNTIF(E5:F5,N21)+COUNTIF(E5:F5,"*,"&amp;N21&amp;",*")+COUNTIF(H5:I5,N21)+COUNTIF(H5:I5,"*,"&amp;N21&amp;",*")+COUNTIF(K5:L5,N21)+COUNTIF(K5:L5,"*,"&amp;N21&amp;",*")+COUNTIF(N5:O5,N21)+COUNTIF(N5:O5,"*,"&amp;N21&amp;",*")+COUNTIF(B7:C7,N21)+COUNTIF(B7:C7,"*,"&amp;N21&amp;",*")+COUNTIF(E7:F7,N21)+COUNTIF(E7:F7,"*,"&amp;N21&amp;",*")+COUNTIF(H7:I7,N21)+COUNTIF(H7:I7,"*,"&amp;N21&amp;",*")+COUNTIF(K7:L7,N21)+COUNTIF(K7:L7,"*,"&amp;N21&amp;",*")+COUNTIF(N7:O7,N21)+COUNTIF(N7:O7,"*,"&amp;N21&amp;",*")+COUNTIF(B9:C9,N21)+COUNTIF(B9:C9,"*,"&amp;N21&amp;",*")+COUNTIF(E9:F9,N21)+COUNTIF(E9:F9,"*,"&amp;N21&amp;",*")+COUNTIF(H9:I9,N21)+COUNTIF(H9:I9,"*,"&amp;N21&amp;",*")+COUNTIF(K9:L9,N21)+COUNTIF(K9:L9,"*,"&amp;N21&amp;",*")+COUNTIF(N9:O9,N21)+COUNTIF(N9:O9,"*,"&amp;N21&amp;",*")+COUNTIF(B11:C11,N21)+COUNTIF(B11:C11,"*,"&amp;N21&amp;",*")+COUNTIF(E11:F11,N21)+COUNTIF(E11:F11,"*,"&amp;N21&amp;",*")+COUNTIF(H11:I11,N21)+COUNTIF(H11:I11,"*,"&amp;N21&amp;",*")+COUNTIF(K11:L11,N21)+COUNTIF(K11:L11,"*,"&amp;N21&amp;",*")+COUNTIF(N11:O11,N21)+COUNTIF(N11:O11,"*,"&amp;N21&amp;",*")+COUNTIF(B13:C13,N21)+COUNTIF(B13:C13,"*,"&amp;N21&amp;",*")+COUNTIF(E13:F13,N21)+COUNTIF(E13:F13,"*,"&amp;N21&amp;",*")+COUNTIF(H13:I13,N21)+COUNTIF(H13:I13,"*,"&amp;N21&amp;",*")+COUNTIF(K13:L13,N21)+COUNTIF(K13:L13,"*,"&amp;N21&amp;",*")+COUNTIF(N13:O13,N21)+COUNTIF(N13:O13,"*,"&amp;N21&amp;",*")+COUNTIF(B15:C15,N21)+COUNTIF(B15:C15,"*,"&amp;N21&amp;",*")+COUNTIF(E15:F15,N21)+COUNTIF(E15:F15,"*,"&amp;N21&amp;",*")+COUNTIF(H15:I15,N21)+COUNTIF(H15:I15,"*,"&amp;N21&amp;",*")+COUNTIF(K15:L15,N21)+COUNTIF(K15:L15,"*,"&amp;N21&amp;",*")+COUNTIF(N15:O15,N21)+COUNTIF(N15:O15,"*,"&amp;N21&amp;",*")+COUNTIF(B17:C17,N21)+COUNTIF(B17:C17,"*,"&amp;N21&amp;",*")+COUNTIF(E17:F17,N21)+COUNTIF(E17:F17,"*,"&amp;N21&amp;",*")+COUNTIF(H17:I17,N21)+COUNTIF(H17:I17,"*,"&amp;N21&amp;",*")+COUNTIF(K17:L17,N21)+COUNTIF(K17:L17,"*,"&amp;N21&amp;",*")+COUNTIF(N17:O17,N21)+COUNTIF(N17:O17,"*,"&amp;N21&amp;",*")=0,"",COUNTIF(B5:C5,N21)+COUNTIF(B5:C5,"*,"&amp;N21&amp;",*")+COUNTIF(E5:F5,N21)+COUNTIF(E5:F5,"*,"&amp;N21&amp;",*")+COUNTIF(H5:I5,N21)+COUNTIF(H5:I5,"*,"&amp;N21&amp;",*")+COUNTIF(K5:L5,N21)+COUNTIF(K5:L5,"*,"&amp;N21&amp;",*")+COUNTIF(N5:O5,N21)+COUNTIF(N5:O5,"*,"&amp;N21&amp;",*")+COUNTIF(B7:C7,N21)+COUNTIF(B7:C7,"*,"&amp;N21&amp;",*")+COUNTIF(E7:F7,N21)+COUNTIF(E7:F7,"*,"&amp;N21&amp;",*")+COUNTIF(H7:I7,N21)+COUNTIF(H7:I7,"*,"&amp;N21&amp;",*")+COUNTIF(K7:L7,N21)+COUNTIF(K7:L7,"*,"&amp;N21&amp;",*")+COUNTIF(N7:O7,N21)+COUNTIF(N7:O7,"*,"&amp;N21&amp;",*")+COUNTIF(B9:C9,N21)+COUNTIF(B9:C9,"*,"&amp;N21&amp;",*")+COUNTIF(E9:F9,N21)+COUNTIF(E9:F9,"*,"&amp;N21&amp;",*")+COUNTIF(H9:I9,N21)+COUNTIF(H9:I9,"*,"&amp;N21&amp;",*")+COUNTIF(K9:L9,N21)+COUNTIF(K9:L9,"*,"&amp;N21&amp;",*")+COUNTIF(N9:O9,N21)+COUNTIF(N9:O9,"*,"&amp;N21&amp;",*")+COUNTIF(B11:C11,N21)+COUNTIF(B11:C11,"*,"&amp;N21&amp;",*")+COUNTIF(E11:F11,N21)+COUNTIF(E11:F11,"*,"&amp;N21&amp;",*")+COUNTIF(H11:I11,N21)+COUNTIF(H11:I11,"*,"&amp;N21&amp;",*")+COUNTIF(K11:L11,N21)+COUNTIF(K11:L11,"*,"&amp;N21&amp;",*")+COUNTIF(N11:O11,N21)+COUNTIF(N11:O11,"*,"&amp;N21&amp;",*")+COUNTIF(B13:C13,N21)+COUNTIF(B13:C13,"*,"&amp;N21&amp;",*")+COUNTIF(E13:F13,N21)+COUNTIF(E13:F13,"*,"&amp;N21&amp;",*")+COUNTIF(H13:I13,N21)+COUNTIF(H13:I13,"*,"&amp;N21&amp;",*")+COUNTIF(K13:L13,N21)+COUNTIF(K13:L13,"*,"&amp;N21&amp;",*")+COUNTIF(N13:O13,N21)+COUNTIF(N13:O13,"*,"&amp;N21&amp;",*")+COUNTIF(B15:C15,N21)+COUNTIF(B15:C15,"*,"&amp;N21&amp;",*")+COUNTIF(E15:F15,N21)+COUNTIF(E15:F15,"*,"&amp;N21&amp;",*")+COUNTIF(H15:I15,N21)+COUNTIF(H15:I15,"*,"&amp;N21&amp;",*")+COUNTIF(K15:L15,N21)+COUNTIF(K15:L15,"*,"&amp;N21&amp;",*")+COUNTIF(N15:O15,N21)+COUNTIF(N15:O15,"*,"&amp;N21&amp;",*")+COUNTIF(B17:C17,N21)+COUNTIF(B17:C17,"*,"&amp;N21&amp;",*")+COUNTIF(E17:F17,N21)+COUNTIF(E17:F17,"*,"&amp;N21&amp;",*")+COUNTIF(H17:I17,N21)+COUNTIF(H17:I17,"*,"&amp;N21&amp;",*")+COUNTIF(K17:L17,N21)+COUNTIF(K17:L17,"*,"&amp;N21&amp;",*")+COUNTIF(N17:O17,N21)+COUNTIF(N17:O17,"*,"&amp;N21&amp;",*"))</f>
        <v/>
      </c>
      <c r="O24" s="21">
        <f>IF(COUNTIF(B5:C5,O21)+COUNTIF(B5:C5,"*,"&amp;O21&amp;",*")+COUNTIF(E5:F5,O21)+COUNTIF(E5:F5,"*,"&amp;O21&amp;",*")+COUNTIF(H5:I5,O21)+COUNTIF(H5:I5,"*,"&amp;O21&amp;",*")+COUNTIF(K5:L5,O21)+COUNTIF(K5:L5,"*,"&amp;O21&amp;",*")+COUNTIF(N5:O5,O21)+COUNTIF(N5:O5,"*,"&amp;O21&amp;",*")+COUNTIF(B7:C7,O21)+COUNTIF(B7:C7,"*,"&amp;O21&amp;",*")+COUNTIF(E7:F7,O21)+COUNTIF(E7:F7,"*,"&amp;O21&amp;",*")+COUNTIF(H7:I7,O21)+COUNTIF(H7:I7,"*,"&amp;O21&amp;",*")+COUNTIF(K7:L7,O21)+COUNTIF(K7:L7,"*,"&amp;O21&amp;",*")+COUNTIF(N7:O7,O21)+COUNTIF(N7:O7,"*,"&amp;O21&amp;",*")+COUNTIF(B9:C9,O21)+COUNTIF(B9:C9,"*,"&amp;O21&amp;",*")+COUNTIF(E9:F9,O21)+COUNTIF(E9:F9,"*,"&amp;O21&amp;",*")+COUNTIF(H9:I9,O21)+COUNTIF(H9:I9,"*,"&amp;O21&amp;",*")+COUNTIF(K9:L9,O21)+COUNTIF(K9:L9,"*,"&amp;O21&amp;",*")+COUNTIF(N9:O9,O21)+COUNTIF(N9:O9,"*,"&amp;O21&amp;",*")+COUNTIF(B11:C11,O21)+COUNTIF(B11:C11,"*,"&amp;O21&amp;",*")+COUNTIF(E11:F11,O21)+COUNTIF(E11:F11,"*,"&amp;O21&amp;",*")+COUNTIF(H11:I11,O21)+COUNTIF(H11:I11,"*,"&amp;O21&amp;",*")+COUNTIF(K11:L11,O21)+COUNTIF(K11:L11,"*,"&amp;O21&amp;",*")+COUNTIF(N11:O11,O21)+COUNTIF(N11:O11,"*,"&amp;O21&amp;",*")+COUNTIF(B13:C13,O21)+COUNTIF(B13:C13,"*,"&amp;O21&amp;",*")+COUNTIF(E13:F13,O21)+COUNTIF(E13:F13,"*,"&amp;O21&amp;",*")+COUNTIF(H13:I13,O21)+COUNTIF(H13:I13,"*,"&amp;O21&amp;",*")+COUNTIF(K13:L13,O21)+COUNTIF(K13:L13,"*,"&amp;O21&amp;",*")+COUNTIF(N13:O13,O21)+COUNTIF(N13:O13,"*,"&amp;O21&amp;",*")+COUNTIF(B15:C15,O21)+COUNTIF(B15:C15,"*,"&amp;O21&amp;",*")+COUNTIF(E15:F15,O21)+COUNTIF(E15:F15,"*,"&amp;O21&amp;",*")+COUNTIF(H15:I15,O21)+COUNTIF(H15:I15,"*,"&amp;O21&amp;",*")+COUNTIF(K15:L15,O21)+COUNTIF(K15:L15,"*,"&amp;O21&amp;",*")+COUNTIF(N15:O15,O21)+COUNTIF(N15:O15,"*,"&amp;O21&amp;",*")+COUNTIF(B17:C17,O21)+COUNTIF(B17:C17,"*,"&amp;O21&amp;",*")+COUNTIF(E17:F17,O21)+COUNTIF(E17:F17,"*,"&amp;O21&amp;",*")+COUNTIF(H17:I17,O21)+COUNTIF(H17:I17,"*,"&amp;O21&amp;",*")+COUNTIF(K17:L17,O21)+COUNTIF(K17:L17,"*,"&amp;O21&amp;",*")+COUNTIF(N17:O17,O21)+COUNTIF(N17:O17,"*,"&amp;O21&amp;",*")=0,"",COUNTIF(B5:C5,O21)+COUNTIF(B5:C5,"*,"&amp;O21&amp;",*")+COUNTIF(E5:F5,O21)+COUNTIF(E5:F5,"*,"&amp;O21&amp;",*")+COUNTIF(H5:I5,O21)+COUNTIF(H5:I5,"*,"&amp;O21&amp;",*")+COUNTIF(K5:L5,O21)+COUNTIF(K5:L5,"*,"&amp;O21&amp;",*")+COUNTIF(N5:O5,O21)+COUNTIF(N5:O5,"*,"&amp;O21&amp;",*")+COUNTIF(B7:C7,O21)+COUNTIF(B7:C7,"*,"&amp;O21&amp;",*")+COUNTIF(E7:F7,O21)+COUNTIF(E7:F7,"*,"&amp;O21&amp;",*")+COUNTIF(H7:I7,O21)+COUNTIF(H7:I7,"*,"&amp;O21&amp;",*")+COUNTIF(K7:L7,O21)+COUNTIF(K7:L7,"*,"&amp;O21&amp;",*")+COUNTIF(N7:O7,O21)+COUNTIF(N7:O7,"*,"&amp;O21&amp;",*")+COUNTIF(B9:C9,O21)+COUNTIF(B9:C9,"*,"&amp;O21&amp;",*")+COUNTIF(E9:F9,O21)+COUNTIF(E9:F9,"*,"&amp;O21&amp;",*")+COUNTIF(H9:I9,O21)+COUNTIF(H9:I9,"*,"&amp;O21&amp;",*")+COUNTIF(K9:L9,O21)+COUNTIF(K9:L9,"*,"&amp;O21&amp;",*")+COUNTIF(N9:O9,O21)+COUNTIF(N9:O9,"*,"&amp;O21&amp;",*")+COUNTIF(B11:C11,O21)+COUNTIF(B11:C11,"*,"&amp;O21&amp;",*")+COUNTIF(E11:F11,O21)+COUNTIF(E11:F11,"*,"&amp;O21&amp;",*")+COUNTIF(H11:I11,O21)+COUNTIF(H11:I11,"*,"&amp;O21&amp;",*")+COUNTIF(K11:L11,O21)+COUNTIF(K11:L11,"*,"&amp;O21&amp;",*")+COUNTIF(N11:O11,O21)+COUNTIF(N11:O11,"*,"&amp;O21&amp;",*")+COUNTIF(B13:C13,O21)+COUNTIF(B13:C13,"*,"&amp;O21&amp;",*")+COUNTIF(E13:F13,O21)+COUNTIF(E13:F13,"*,"&amp;O21&amp;",*")+COUNTIF(H13:I13,O21)+COUNTIF(H13:I13,"*,"&amp;O21&amp;",*")+COUNTIF(K13:L13,O21)+COUNTIF(K13:L13,"*,"&amp;O21&amp;",*")+COUNTIF(N13:O13,O21)+COUNTIF(N13:O13,"*,"&amp;O21&amp;",*")+COUNTIF(B15:C15,O21)+COUNTIF(B15:C15,"*,"&amp;O21&amp;",*")+COUNTIF(E15:F15,O21)+COUNTIF(E15:F15,"*,"&amp;O21&amp;",*")+COUNTIF(H15:I15,O21)+COUNTIF(H15:I15,"*,"&amp;O21&amp;",*")+COUNTIF(K15:L15,O21)+COUNTIF(K15:L15,"*,"&amp;O21&amp;",*")+COUNTIF(N15:O15,O21)+COUNTIF(N15:O15,"*,"&amp;O21&amp;",*")+COUNTIF(B17:C17,O21)+COUNTIF(B17:C17,"*,"&amp;O21&amp;",*")+COUNTIF(E17:F17,O21)+COUNTIF(E17:F17,"*,"&amp;O21&amp;",*")+COUNTIF(H17:I17,O21)+COUNTIF(H17:I17,"*,"&amp;O21&amp;",*")+COUNTIF(K17:L17,O21)+COUNTIF(K17:L17,"*,"&amp;O21&amp;",*")+COUNTIF(N17:O17,O21)+COUNTIF(N17:O17,"*,"&amp;O21&amp;",*"))</f>
        <v/>
      </c>
      <c r="P24" s="22">
        <f>IF(SUM(B24:O24)=0,"",SUM(B24:O24))</f>
        <v/>
      </c>
    </row>
    <row r="25" spans="1:16" ht="13.5" customHeight="1" x14ac:dyDescent="0.2">
      <c r="A25" s="23" t="s">
        <v>52</v>
      </c>
      <c r="B25" s="26"/>
      <c r="C25" s="26"/>
      <c r="D25" s="26"/>
      <c r="E25" s="26"/>
      <c r="F25" s="26"/>
      <c r="G25" s="26"/>
      <c r="H25" s="26"/>
      <c r="I25" s="26"/>
      <c r="J25" s="26"/>
      <c r="K25" s="26"/>
      <c r="L25" s="26"/>
      <c r="M25" s="26"/>
      <c r="N25" s="26"/>
      <c r="O25" s="24"/>
      <c r="P25" s="18">
        <f>IF(SUM(B25:O25)=0,"",SUM(B25:O25))</f>
        <v/>
      </c>
    </row>
  </sheetData>
  <sheetProtection sheet="1" objects="1" scenarios="1"/>
  <mergeCells count="104">
    <mergeCell ref="N19:P19"/>
    <mergeCell ref="A23:A24"/>
    <mergeCell ref="N17:O17"/>
    <mergeCell ref="B18:D18"/>
    <mergeCell ref="E18:G18"/>
    <mergeCell ref="H18:J18"/>
    <mergeCell ref="K18:M18"/>
    <mergeCell ref="N18:P18"/>
    <mergeCell ref="A17:A18"/>
    <mergeCell ref="B17:C17"/>
    <mergeCell ref="E17:F17"/>
    <mergeCell ref="H17:I17"/>
    <mergeCell ref="K17:L17"/>
    <mergeCell ref="B19:D19"/>
    <mergeCell ref="E19:G19"/>
    <mergeCell ref="H19:J19"/>
    <mergeCell ref="K19:M19"/>
    <mergeCell ref="A15:A16"/>
    <mergeCell ref="B15:C15"/>
    <mergeCell ref="E15:F15"/>
    <mergeCell ref="H15:I15"/>
    <mergeCell ref="K15:L15"/>
    <mergeCell ref="N15:O15"/>
    <mergeCell ref="B16:D16"/>
    <mergeCell ref="E16:G16"/>
    <mergeCell ref="H16:J16"/>
    <mergeCell ref="K16:M16"/>
    <mergeCell ref="N16:P16"/>
    <mergeCell ref="A13:A14"/>
    <mergeCell ref="B13:C13"/>
    <mergeCell ref="E13:F13"/>
    <mergeCell ref="H13:I13"/>
    <mergeCell ref="K13:L13"/>
    <mergeCell ref="N13:O13"/>
    <mergeCell ref="B14:D14"/>
    <mergeCell ref="E14:G14"/>
    <mergeCell ref="H14:J14"/>
    <mergeCell ref="K14:M14"/>
    <mergeCell ref="N14:P14"/>
    <mergeCell ref="A11:A12"/>
    <mergeCell ref="B11:C11"/>
    <mergeCell ref="E11:F11"/>
    <mergeCell ref="H11:I11"/>
    <mergeCell ref="K11:L11"/>
    <mergeCell ref="N11:O11"/>
    <mergeCell ref="B12:D12"/>
    <mergeCell ref="E12:G12"/>
    <mergeCell ref="H12:J12"/>
    <mergeCell ref="K12:M12"/>
    <mergeCell ref="N12:P12"/>
    <mergeCell ref="N8:P8"/>
    <mergeCell ref="A9:A10"/>
    <mergeCell ref="B9:C9"/>
    <mergeCell ref="E9:F9"/>
    <mergeCell ref="H9:I9"/>
    <mergeCell ref="K9:L9"/>
    <mergeCell ref="N9:O9"/>
    <mergeCell ref="B10:D10"/>
    <mergeCell ref="E10:G10"/>
    <mergeCell ref="H10:J10"/>
    <mergeCell ref="A7:A8"/>
    <mergeCell ref="B7:C7"/>
    <mergeCell ref="E7:F7"/>
    <mergeCell ref="H7:I7"/>
    <mergeCell ref="K7:L7"/>
    <mergeCell ref="N7:O7"/>
    <mergeCell ref="B8:D8"/>
    <mergeCell ref="E8:G8"/>
    <mergeCell ref="H8:J8"/>
    <mergeCell ref="K8:M8"/>
    <mergeCell ref="K10:M10"/>
    <mergeCell ref="N10:P10"/>
    <mergeCell ref="A5:A6"/>
    <mergeCell ref="B5:C5"/>
    <mergeCell ref="E5:F5"/>
    <mergeCell ref="H5:I5"/>
    <mergeCell ref="K5:L5"/>
    <mergeCell ref="N2:P2"/>
    <mergeCell ref="B3:D3"/>
    <mergeCell ref="E3:G3"/>
    <mergeCell ref="H3:J3"/>
    <mergeCell ref="K3:M3"/>
    <mergeCell ref="N3:P3"/>
    <mergeCell ref="N5:O5"/>
    <mergeCell ref="B6:D6"/>
    <mergeCell ref="E6:G6"/>
    <mergeCell ref="H6:J6"/>
    <mergeCell ref="K6:M6"/>
    <mergeCell ref="N6:P6"/>
    <mergeCell ref="B4:D4"/>
    <mergeCell ref="E4:G4"/>
    <mergeCell ref="H4:J4"/>
    <mergeCell ref="K4:M4"/>
    <mergeCell ref="N4:P4"/>
    <mergeCell ref="A1:G1"/>
    <mergeCell ref="I1:J1"/>
    <mergeCell ref="K1:L1"/>
    <mergeCell ref="M1:N1"/>
    <mergeCell ref="O1:P1"/>
    <mergeCell ref="A2:A3"/>
    <mergeCell ref="B2:D2"/>
    <mergeCell ref="E2:G2"/>
    <mergeCell ref="H2:J2"/>
    <mergeCell ref="K2:M2"/>
  </mergeCells>
  <phoneticPr fontId="5"/>
  <dataValidations count="1">
    <dataValidation type="list" allowBlank="1" showInputMessage="1" sqref="D5 P17 M17 J17 G17 D17 P15 M15 J15 G15 D15 P13 M13 J13 G13 D13 P11 M11 J11 G11 D11 P9 M9 J9 G9 D9 P7 M7 J7 G7 D7 P5 M5 J5 G5" xr:uid="{BE02D396-D0DC-4A54-BF0F-203A4FA6EB50}">
      <formula1>"×,月1,月2,月3,月4,月5,月6,月7,火1,火2,火3,火4,火5,火6,火7,水1,水2,水3,水4,水5,水6,水7,木1,木2,木3,木4,木5,木6,木7,金1,金2,金3,金4,金5,金6,金7"</formula1>
    </dataValidation>
  </dataValidations>
  <printOptions horizontalCentered="1"/>
  <pageMargins left="0.78740157480314965" right="0.78740157480314965" top="0.78740157480314965" bottom="0.78740157480314965" header="0" footer="0"/>
  <pageSetup paperSize="9" scale="95"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tn_0">
              <controlPr defaultSize="0" print="0" autoFill="0" autoPict="0" macro="[0]!ボタン_新しい週">
                <anchor moveWithCells="1" sizeWithCells="1">
                  <from>
                    <xdr:col>17</xdr:col>
                    <xdr:colOff>60960</xdr:colOff>
                    <xdr:row>3</xdr:row>
                    <xdr:rowOff>30480</xdr:rowOff>
                  </from>
                  <to>
                    <xdr:col>18</xdr:col>
                    <xdr:colOff>533400</xdr:colOff>
                    <xdr:row>3</xdr:row>
                    <xdr:rowOff>335280</xdr:rowOff>
                  </to>
                </anchor>
              </controlPr>
            </control>
          </mc:Choice>
        </mc:AlternateContent>
        <mc:AlternateContent xmlns:mc="http://schemas.openxmlformats.org/markup-compatibility/2006">
          <mc:Choice Requires="x14">
            <control shapeId="16386" r:id="rId5" name="Btn_1">
              <controlPr defaultSize="0" print="0" autoFill="0" autoPict="0" macro="[0]!ボタン_時間割展開">
                <anchor moveWithCells="1" sizeWithCells="1">
                  <from>
                    <xdr:col>17</xdr:col>
                    <xdr:colOff>60960</xdr:colOff>
                    <xdr:row>3</xdr:row>
                    <xdr:rowOff>441960</xdr:rowOff>
                  </from>
                  <to>
                    <xdr:col>18</xdr:col>
                    <xdr:colOff>533400</xdr:colOff>
                    <xdr:row>4</xdr:row>
                    <xdr:rowOff>45720</xdr:rowOff>
                  </to>
                </anchor>
              </controlPr>
            </control>
          </mc:Choice>
        </mc:AlternateContent>
        <mc:AlternateContent xmlns:mc="http://schemas.openxmlformats.org/markup-compatibility/2006">
          <mc:Choice Requires="x14">
            <control shapeId="16387" r:id="rId6" name="Btn_2">
              <controlPr defaultSize="0" print="0" autoFill="0" autoPict="0" macro="[0]!ボタン_累計更新">
                <anchor moveWithCells="1" sizeWithCells="1">
                  <from>
                    <xdr:col>17</xdr:col>
                    <xdr:colOff>60960</xdr:colOff>
                    <xdr:row>4</xdr:row>
                    <xdr:rowOff>144780</xdr:rowOff>
                  </from>
                  <to>
                    <xdr:col>18</xdr:col>
                    <xdr:colOff>533400</xdr:colOff>
                    <xdr:row>5</xdr:row>
                    <xdr:rowOff>220980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xr:uid="{92EE887C-4190-4015-B4F0-D847DF06293A}">
          <x14:formula1>
            <xm:f>基本設定!$B$6:$B$20</xm:f>
          </x14:formula1>
          <xm:sqref>B5 N19 K19 H19 E19 B19 N17 K17 H17 E17 B17 N15 K15 H15 E15 B15 N13 K13 H13 E13 B13 N11 K11 H11 E11 B11 N9 K9 H9 E9 B9 N7 K7 H7 E7 B7 N5 K5 H5 E5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9B337-D0F4-426B-B409-CD92B9EA7ED9}">
  <sheetPr codeName="Sheet13">
    <tabColor rgb="FFC0392B"/>
    <pageSetUpPr fitToPage="1"/>
  </sheetPr>
  <dimension ref="A1:P25"/>
  <sheetViews>
    <sheetView topLeftCell="A4" workbookViewId="0">
      <selection activeCell="H14" sqref="H14:J14"/>
    </sheetView>
  </sheetViews>
  <sheetFormatPr defaultColWidth="8.77734375" defaultRowHeight="13.2" x14ac:dyDescent="0.2"/>
  <cols>
    <col min="1" max="1" width="5.44140625" customWidth="1"/>
    <col min="2" max="16" width="5.77734375" customWidth="1"/>
  </cols>
  <sheetData>
    <row r="1" spans="1:16" ht="50.1" customHeight="1" x14ac:dyDescent="0.2">
      <c r="A1" s="51" t="s">
        <v>34</v>
      </c>
      <c r="B1" s="52"/>
      <c r="C1" s="52"/>
      <c r="D1" s="52"/>
      <c r="E1" s="52"/>
      <c r="F1" s="52"/>
      <c r="G1" s="52"/>
      <c r="H1" s="8" t="s">
        <v>35</v>
      </c>
      <c r="I1" s="53" t="s">
        <v>36</v>
      </c>
      <c r="J1" s="54"/>
      <c r="K1" s="53" t="s">
        <v>37</v>
      </c>
      <c r="L1" s="54"/>
      <c r="M1" s="53" t="s">
        <v>38</v>
      </c>
      <c r="N1" s="54"/>
      <c r="O1" s="53" t="s">
        <v>39</v>
      </c>
      <c r="P1" s="54"/>
    </row>
    <row r="2" spans="1:16" ht="15.6" customHeight="1" x14ac:dyDescent="0.2">
      <c r="A2" s="55" t="s">
        <v>40</v>
      </c>
      <c r="B2" s="57" t="s">
        <v>29</v>
      </c>
      <c r="C2" s="57"/>
      <c r="D2" s="57"/>
      <c r="E2" s="59" t="s">
        <v>30</v>
      </c>
      <c r="F2" s="59"/>
      <c r="G2" s="59"/>
      <c r="H2" s="45" t="s">
        <v>31</v>
      </c>
      <c r="I2" s="45"/>
      <c r="J2" s="45"/>
      <c r="K2" s="47" t="s">
        <v>32</v>
      </c>
      <c r="L2" s="47"/>
      <c r="M2" s="47"/>
      <c r="N2" s="49" t="s">
        <v>33</v>
      </c>
      <c r="O2" s="49"/>
      <c r="P2" s="49"/>
    </row>
    <row r="3" spans="1:16" ht="15" customHeight="1" x14ac:dyDescent="0.2">
      <c r="A3" s="56"/>
      <c r="B3" s="58" t="s">
        <v>41</v>
      </c>
      <c r="C3" s="58"/>
      <c r="D3" s="58"/>
      <c r="E3" s="60" t="s">
        <v>42</v>
      </c>
      <c r="F3" s="60"/>
      <c r="G3" s="60"/>
      <c r="H3" s="46" t="s">
        <v>43</v>
      </c>
      <c r="I3" s="46"/>
      <c r="J3" s="46"/>
      <c r="K3" s="48" t="s">
        <v>44</v>
      </c>
      <c r="L3" s="48"/>
      <c r="M3" s="48"/>
      <c r="N3" s="50" t="s">
        <v>45</v>
      </c>
      <c r="O3" s="50"/>
      <c r="P3" s="50"/>
    </row>
    <row r="4" spans="1:16" ht="54.9" customHeight="1" x14ac:dyDescent="0.2">
      <c r="A4" s="9" t="s">
        <v>46</v>
      </c>
      <c r="B4" s="40"/>
      <c r="C4" s="40"/>
      <c r="D4" s="40"/>
      <c r="E4" s="41"/>
      <c r="F4" s="41"/>
      <c r="G4" s="41"/>
      <c r="H4" s="42"/>
      <c r="I4" s="42"/>
      <c r="J4" s="42"/>
      <c r="K4" s="43"/>
      <c r="L4" s="43"/>
      <c r="M4" s="43"/>
      <c r="N4" s="44"/>
      <c r="O4" s="44"/>
      <c r="P4" s="44"/>
    </row>
    <row r="5" spans="1:16" ht="18" customHeight="1" x14ac:dyDescent="0.2">
      <c r="A5" s="39">
        <v>1</v>
      </c>
      <c r="B5" s="37"/>
      <c r="C5" s="37"/>
      <c r="D5" s="25"/>
      <c r="E5" s="37"/>
      <c r="F5" s="37"/>
      <c r="G5" s="25"/>
      <c r="H5" s="37"/>
      <c r="I5" s="37"/>
      <c r="J5" s="25"/>
      <c r="K5" s="37"/>
      <c r="L5" s="37"/>
      <c r="M5" s="25"/>
      <c r="N5" s="37"/>
      <c r="O5" s="37"/>
      <c r="P5" s="25"/>
    </row>
    <row r="6" spans="1:16" ht="62.1" customHeight="1" x14ac:dyDescent="0.2">
      <c r="A6" s="39"/>
      <c r="B6" s="38"/>
      <c r="C6" s="38"/>
      <c r="D6" s="38"/>
      <c r="E6" s="38"/>
      <c r="F6" s="38"/>
      <c r="G6" s="38"/>
      <c r="H6" s="38"/>
      <c r="I6" s="38"/>
      <c r="J6" s="38"/>
      <c r="K6" s="38"/>
      <c r="L6" s="38"/>
      <c r="M6" s="38"/>
      <c r="N6" s="38"/>
      <c r="O6" s="38"/>
      <c r="P6" s="38"/>
    </row>
    <row r="7" spans="1:16" ht="18" customHeight="1" x14ac:dyDescent="0.2">
      <c r="A7" s="39">
        <v>2</v>
      </c>
      <c r="B7" s="37"/>
      <c r="C7" s="37"/>
      <c r="D7" s="25"/>
      <c r="E7" s="37"/>
      <c r="F7" s="37"/>
      <c r="G7" s="25"/>
      <c r="H7" s="37"/>
      <c r="I7" s="37"/>
      <c r="J7" s="25"/>
      <c r="K7" s="37"/>
      <c r="L7" s="37"/>
      <c r="M7" s="25"/>
      <c r="N7" s="37"/>
      <c r="O7" s="37"/>
      <c r="P7" s="25"/>
    </row>
    <row r="8" spans="1:16" ht="62.1" customHeight="1" x14ac:dyDescent="0.2">
      <c r="A8" s="39"/>
      <c r="B8" s="38"/>
      <c r="C8" s="38"/>
      <c r="D8" s="38"/>
      <c r="E8" s="38"/>
      <c r="F8" s="38"/>
      <c r="G8" s="38"/>
      <c r="H8" s="38"/>
      <c r="I8" s="38"/>
      <c r="J8" s="38"/>
      <c r="K8" s="38"/>
      <c r="L8" s="38"/>
      <c r="M8" s="38"/>
      <c r="N8" s="38"/>
      <c r="O8" s="38"/>
      <c r="P8" s="38"/>
    </row>
    <row r="9" spans="1:16" ht="18" customHeight="1" x14ac:dyDescent="0.2">
      <c r="A9" s="39">
        <v>3</v>
      </c>
      <c r="B9" s="37"/>
      <c r="C9" s="37"/>
      <c r="D9" s="25"/>
      <c r="E9" s="37"/>
      <c r="F9" s="37"/>
      <c r="G9" s="25"/>
      <c r="H9" s="37"/>
      <c r="I9" s="37"/>
      <c r="J9" s="25"/>
      <c r="K9" s="37"/>
      <c r="L9" s="37"/>
      <c r="M9" s="25"/>
      <c r="N9" s="37"/>
      <c r="O9" s="37"/>
      <c r="P9" s="25"/>
    </row>
    <row r="10" spans="1:16" ht="62.1" customHeight="1" x14ac:dyDescent="0.2">
      <c r="A10" s="39"/>
      <c r="B10" s="38"/>
      <c r="C10" s="38"/>
      <c r="D10" s="38"/>
      <c r="E10" s="38"/>
      <c r="F10" s="38"/>
      <c r="G10" s="38"/>
      <c r="H10" s="38"/>
      <c r="I10" s="38"/>
      <c r="J10" s="38"/>
      <c r="K10" s="38"/>
      <c r="L10" s="38"/>
      <c r="M10" s="38"/>
      <c r="N10" s="38"/>
      <c r="O10" s="38"/>
      <c r="P10" s="38"/>
    </row>
    <row r="11" spans="1:16" ht="18" customHeight="1" x14ac:dyDescent="0.2">
      <c r="A11" s="39">
        <v>4</v>
      </c>
      <c r="B11" s="37"/>
      <c r="C11" s="37"/>
      <c r="D11" s="25"/>
      <c r="E11" s="37"/>
      <c r="F11" s="37"/>
      <c r="G11" s="25"/>
      <c r="H11" s="37"/>
      <c r="I11" s="37"/>
      <c r="J11" s="25"/>
      <c r="K11" s="37"/>
      <c r="L11" s="37"/>
      <c r="M11" s="25"/>
      <c r="N11" s="37"/>
      <c r="O11" s="37"/>
      <c r="P11" s="25"/>
    </row>
    <row r="12" spans="1:16" ht="62.1" customHeight="1" x14ac:dyDescent="0.2">
      <c r="A12" s="39"/>
      <c r="B12" s="38"/>
      <c r="C12" s="38"/>
      <c r="D12" s="38"/>
      <c r="E12" s="38"/>
      <c r="F12" s="38"/>
      <c r="G12" s="38"/>
      <c r="H12" s="38"/>
      <c r="I12" s="38"/>
      <c r="J12" s="38"/>
      <c r="K12" s="38"/>
      <c r="L12" s="38"/>
      <c r="M12" s="38"/>
      <c r="N12" s="38"/>
      <c r="O12" s="38"/>
      <c r="P12" s="38"/>
    </row>
    <row r="13" spans="1:16" ht="18" customHeight="1" x14ac:dyDescent="0.2">
      <c r="A13" s="39">
        <v>5</v>
      </c>
      <c r="B13" s="37"/>
      <c r="C13" s="37"/>
      <c r="D13" s="25"/>
      <c r="E13" s="37"/>
      <c r="F13" s="37"/>
      <c r="G13" s="25"/>
      <c r="H13" s="37"/>
      <c r="I13" s="37"/>
      <c r="J13" s="25"/>
      <c r="K13" s="37"/>
      <c r="L13" s="37"/>
      <c r="M13" s="25"/>
      <c r="N13" s="37"/>
      <c r="O13" s="37"/>
      <c r="P13" s="25"/>
    </row>
    <row r="14" spans="1:16" ht="62.1" customHeight="1" x14ac:dyDescent="0.2">
      <c r="A14" s="39"/>
      <c r="B14" s="38"/>
      <c r="C14" s="38"/>
      <c r="D14" s="38"/>
      <c r="E14" s="38"/>
      <c r="F14" s="38"/>
      <c r="G14" s="38"/>
      <c r="H14" s="38"/>
      <c r="I14" s="38"/>
      <c r="J14" s="38"/>
      <c r="K14" s="38"/>
      <c r="L14" s="38"/>
      <c r="M14" s="38"/>
      <c r="N14" s="38"/>
      <c r="O14" s="38"/>
      <c r="P14" s="38"/>
    </row>
    <row r="15" spans="1:16" ht="18" customHeight="1" x14ac:dyDescent="0.2">
      <c r="A15" s="39">
        <v>6</v>
      </c>
      <c r="B15" s="37"/>
      <c r="C15" s="37"/>
      <c r="D15" s="25"/>
      <c r="E15" s="37"/>
      <c r="F15" s="37"/>
      <c r="G15" s="25"/>
      <c r="H15" s="37"/>
      <c r="I15" s="37"/>
      <c r="J15" s="25"/>
      <c r="K15" s="37"/>
      <c r="L15" s="37"/>
      <c r="M15" s="25"/>
      <c r="N15" s="37"/>
      <c r="O15" s="37"/>
      <c r="P15" s="25"/>
    </row>
    <row r="16" spans="1:16" ht="62.1" customHeight="1" x14ac:dyDescent="0.2">
      <c r="A16" s="39"/>
      <c r="B16" s="38"/>
      <c r="C16" s="38"/>
      <c r="D16" s="38"/>
      <c r="E16" s="38"/>
      <c r="F16" s="38"/>
      <c r="G16" s="38"/>
      <c r="H16" s="38"/>
      <c r="I16" s="38"/>
      <c r="J16" s="38"/>
      <c r="K16" s="38"/>
      <c r="L16" s="38"/>
      <c r="M16" s="38"/>
      <c r="N16" s="38"/>
      <c r="O16" s="38"/>
      <c r="P16" s="38"/>
    </row>
    <row r="17" spans="1:16" ht="18" customHeight="1" x14ac:dyDescent="0.2">
      <c r="A17" s="39">
        <v>7</v>
      </c>
      <c r="B17" s="37"/>
      <c r="C17" s="37"/>
      <c r="D17" s="25"/>
      <c r="E17" s="37"/>
      <c r="F17" s="37"/>
      <c r="G17" s="25"/>
      <c r="H17" s="37"/>
      <c r="I17" s="37"/>
      <c r="J17" s="25"/>
      <c r="K17" s="37"/>
      <c r="L17" s="37"/>
      <c r="M17" s="25"/>
      <c r="N17" s="37"/>
      <c r="O17" s="37"/>
      <c r="P17" s="25"/>
    </row>
    <row r="18" spans="1:16" ht="62.1" customHeight="1" x14ac:dyDescent="0.2">
      <c r="A18" s="39"/>
      <c r="B18" s="38"/>
      <c r="C18" s="38"/>
      <c r="D18" s="38"/>
      <c r="E18" s="38"/>
      <c r="F18" s="38"/>
      <c r="G18" s="38"/>
      <c r="H18" s="38"/>
      <c r="I18" s="38"/>
      <c r="J18" s="38"/>
      <c r="K18" s="38"/>
      <c r="L18" s="38"/>
      <c r="M18" s="38"/>
      <c r="N18" s="38"/>
      <c r="O18" s="38"/>
      <c r="P18" s="38"/>
    </row>
    <row r="19" spans="1:16" ht="54.9" customHeight="1" x14ac:dyDescent="0.2">
      <c r="A19" s="10" t="s">
        <v>47</v>
      </c>
      <c r="B19" s="34"/>
      <c r="C19" s="34"/>
      <c r="D19" s="34"/>
      <c r="E19" s="34"/>
      <c r="F19" s="34"/>
      <c r="G19" s="34"/>
      <c r="H19" s="34"/>
      <c r="I19" s="34"/>
      <c r="J19" s="34"/>
      <c r="K19" s="34"/>
      <c r="L19" s="34"/>
      <c r="M19" s="34"/>
      <c r="N19" s="34"/>
      <c r="O19" s="34"/>
      <c r="P19" s="34"/>
    </row>
    <row r="20" spans="1:16" hidden="1" x14ac:dyDescent="0.2">
      <c r="A20" s="11"/>
      <c r="B20" s="11"/>
      <c r="C20" s="11"/>
      <c r="D20" s="11"/>
      <c r="E20" s="11"/>
      <c r="F20" s="11"/>
      <c r="G20" s="11"/>
      <c r="H20" s="11"/>
      <c r="I20" s="11"/>
      <c r="J20" s="11"/>
      <c r="K20" s="11"/>
      <c r="L20" s="11"/>
      <c r="M20" s="11"/>
      <c r="N20" s="11"/>
      <c r="O20" s="11"/>
      <c r="P20" s="11"/>
    </row>
    <row r="21" spans="1:16" ht="13.5" customHeight="1" x14ac:dyDescent="0.2">
      <c r="A21" s="12" t="s">
        <v>48</v>
      </c>
      <c r="B21" s="12">
        <f>IF(基本設定!B6="","",基本設定!B6)</f>
      </c>
      <c r="C21" s="12">
        <f>IF(基本設定!B7="","",基本設定!B7)</f>
      </c>
      <c r="D21" s="12">
        <f>IF(基本設定!B8="","",基本設定!B8)</f>
      </c>
      <c r="E21" s="12">
        <f>IF(基本設定!B9="","",基本設定!B9)</f>
      </c>
      <c r="F21" s="12">
        <f>IF(基本設定!B10="","",基本設定!B10)</f>
      </c>
      <c r="G21" s="12">
        <f>IF(基本設定!B11="","",基本設定!B11)</f>
      </c>
      <c r="H21" s="12"/>
      <c r="I21" s="12"/>
      <c r="J21" s="12"/>
      <c r="K21" s="12"/>
      <c r="L21" s="12"/>
      <c r="M21" s="13" t="s">
        <v>53</v>
      </c>
      <c r="N21" s="12" t="s">
        <v>20</v>
      </c>
      <c r="O21" s="12" t="s">
        <v>22</v>
      </c>
      <c r="P21" s="14" t="s">
        <v>49</v>
      </c>
    </row>
    <row r="22" spans="1:16" ht="13.5" customHeight="1" x14ac:dyDescent="0.2">
      <c r="A22" s="15" t="s">
        <v>50</v>
      </c>
      <c r="B22" s="16">
        <f>IF(B21="","",IFERROR(VALUE(VLOOKUP(B21,基本設定!$A$23:$B$35,2,FALSE())),""))</f>
      </c>
      <c r="C22" s="16">
        <f>IF(C21="","",IFERROR(VALUE(VLOOKUP(C21,基本設定!$A$23:$B$35,2,FALSE())),""))</f>
      </c>
      <c r="D22" s="16">
        <f>IF(D21="","",IFERROR(VALUE(VLOOKUP(D21,基本設定!$A$23:$B$35,2,FALSE())),""))</f>
      </c>
      <c r="E22" s="16">
        <f>IF(E21="","",IFERROR(VALUE(VLOOKUP(E21,基本設定!$A$23:$B$35,2,FALSE())),""))</f>
      </c>
      <c r="F22" s="16">
        <f>IF(F21="","",IFERROR(VALUE(VLOOKUP(F21,基本設定!$A$23:$B$35,2,FALSE())),""))</f>
      </c>
      <c r="G22" s="16">
        <f>IF(G21="","",IFERROR(VALUE(VLOOKUP(G21,基本設定!$A$23:$B$35,2,FALSE())),""))</f>
      </c>
      <c r="H22" s="17"/>
      <c r="I22" s="17"/>
      <c r="J22" s="17"/>
      <c r="K22" s="17"/>
      <c r="L22" s="17"/>
      <c r="M22" s="17">
        <v>1</v>
      </c>
      <c r="N22" s="17">
        <f>IF(N21="","",IFERROR(VALUE(VLOOKUP(N21,基本設定!$A$23:$B$35,2,FALSE())),""))</f>
      </c>
      <c r="O22" s="17">
        <f>IF(O21="","",IFERROR(VALUE(VLOOKUP(O21,基本設定!$A$23:$B$35,2,FALSE())),""))</f>
      </c>
      <c r="P22" s="18">
        <f>IF(SUM(B22:O22)=0,"",SUM(B22:O22))</f>
      </c>
    </row>
    <row r="23" spans="1:16" ht="13.5" customHeight="1" x14ac:dyDescent="0.2">
      <c r="A23" s="35" t="s">
        <v>51</v>
      </c>
      <c r="B23" s="19">
        <f>IF(B21="","",IF(B24="","",B24-(SUMPRODUCT((B5:C5=B21)*(D5="×"))+SUMPRODUCT((E5:F5=B21)*(G5="×"))+SUMPRODUCT((H5:I5=B21)*(J5="×"))+SUMPRODUCT((K5:L5=B21)*(M5="×"))+SUMPRODUCT((N5:O5=B21)*(P5="×"))+SUMPRODUCT((B7:C7=B21)*(D7="×"))+SUMPRODUCT((E7:F7=B21)*(G7="×"))+SUMPRODUCT((H7:I7=B21)*(J7="×"))+SUMPRODUCT((K7:L7=B21)*(M7="×"))+SUMPRODUCT((N7:O7=B21)*(P7="×"))+SUMPRODUCT((B9:C9=B21)*(D9="×"))+SUMPRODUCT((E9:F9=B21)*(G9="×"))+SUMPRODUCT((H9:I9=B21)*(J9="×"))+SUMPRODUCT((K9:L9=B21)*(M9="×"))+SUMPRODUCT((N9:O9=B21)*(P9="×"))+SUMPRODUCT((B11:C11=B21)*(D11="×"))+SUMPRODUCT((E11:F11=B21)*(G11="×"))+SUMPRODUCT((H11:I11=B21)*(J11="×"))+SUMPRODUCT((K11:L11=B21)*(M11="×"))+SUMPRODUCT((N11:O11=B21)*(P11="×"))+SUMPRODUCT((B13:C13=B21)*(D13="×"))+SUMPRODUCT((E13:F13=B21)*(G13="×"))+SUMPRODUCT((H13:I13=B21)*(J13="×"))+SUMPRODUCT((K13:L13=B21)*(M13="×"))+SUMPRODUCT((N13:O13=B21)*(P13="×"))+SUMPRODUCT((B15:C15=B21)*(D15="×"))+SUMPRODUCT((E15:F15=B21)*(G15="×"))+SUMPRODUCT((H15:I15=B21)*(J15="×"))+SUMPRODUCT((K15:L15=B21)*(M15="×"))+SUMPRODUCT((N15:O15=B21)*(P15="×"))+SUMPRODUCT((B17:C17=B21)*(D17="×"))+SUMPRODUCT((E17:F17=B21)*(G17="×"))+SUMPRODUCT((H17:I17=B21)*(J17="×"))+SUMPRODUCT((K17:L17=B21)*(M17="×"))+SUMPRODUCT((N17:O17=B21)*(P17="×")))))</f>
        <v/>
      </c>
      <c r="C23" s="19">
        <f>IF(C21="","",IF(C24="","",C24-(SUMPRODUCT((B5:C5=C21)*(D5="×"))+SUMPRODUCT((E5:F5=C21)*(G5="×"))+SUMPRODUCT((H5:I5=C21)*(J5="×"))+SUMPRODUCT((K5:L5=C21)*(M5="×"))+SUMPRODUCT((N5:O5=C21)*(P5="×"))+SUMPRODUCT((B7:C7=C21)*(D7="×"))+SUMPRODUCT((E7:F7=C21)*(G7="×"))+SUMPRODUCT((H7:I7=C21)*(J7="×"))+SUMPRODUCT((K7:L7=C21)*(M7="×"))+SUMPRODUCT((N7:O7=C21)*(P7="×"))+SUMPRODUCT((B9:C9=C21)*(D9="×"))+SUMPRODUCT((E9:F9=C21)*(G9="×"))+SUMPRODUCT((H9:I9=C21)*(J9="×"))+SUMPRODUCT((K9:L9=C21)*(M9="×"))+SUMPRODUCT((N9:O9=C21)*(P9="×"))+SUMPRODUCT((B11:C11=C21)*(D11="×"))+SUMPRODUCT((E11:F11=C21)*(G11="×"))+SUMPRODUCT((H11:I11=C21)*(J11="×"))+SUMPRODUCT((K11:L11=C21)*(M11="×"))+SUMPRODUCT((N11:O11=C21)*(P11="×"))+SUMPRODUCT((B13:C13=C21)*(D13="×"))+SUMPRODUCT((E13:F13=C21)*(G13="×"))+SUMPRODUCT((H13:I13=C21)*(J13="×"))+SUMPRODUCT((K13:L13=C21)*(M13="×"))+SUMPRODUCT((N13:O13=C21)*(P13="×"))+SUMPRODUCT((B15:C15=C21)*(D15="×"))+SUMPRODUCT((E15:F15=C21)*(G15="×"))+SUMPRODUCT((H15:I15=C21)*(J15="×"))+SUMPRODUCT((K15:L15=C21)*(M15="×"))+SUMPRODUCT((N15:O15=C21)*(P15="×"))+SUMPRODUCT((B17:C17=C21)*(D17="×"))+SUMPRODUCT((E17:F17=C21)*(G17="×"))+SUMPRODUCT((H17:I17=C21)*(J17="×"))+SUMPRODUCT((K17:L17=C21)*(M17="×"))+SUMPRODUCT((N17:O17=C21)*(P17="×")))))</f>
        <v/>
      </c>
      <c r="D23" s="19">
        <f>IF(D21="","",IF(D24="","",D24-(SUMPRODUCT((B5:C5=D21)*(D5="×"))+SUMPRODUCT((E5:F5=D21)*(G5="×"))+SUMPRODUCT((H5:I5=D21)*(J5="×"))+SUMPRODUCT((K5:L5=D21)*(M5="×"))+SUMPRODUCT((N5:O5=D21)*(P5="×"))+SUMPRODUCT((B7:C7=D21)*(D7="×"))+SUMPRODUCT((E7:F7=D21)*(G7="×"))+SUMPRODUCT((H7:I7=D21)*(J7="×"))+SUMPRODUCT((K7:L7=D21)*(M7="×"))+SUMPRODUCT((N7:O7=D21)*(P7="×"))+SUMPRODUCT((B9:C9=D21)*(D9="×"))+SUMPRODUCT((E9:F9=D21)*(G9="×"))+SUMPRODUCT((H9:I9=D21)*(J9="×"))+SUMPRODUCT((K9:L9=D21)*(M9="×"))+SUMPRODUCT((N9:O9=D21)*(P9="×"))+SUMPRODUCT((B11:C11=D21)*(D11="×"))+SUMPRODUCT((E11:F11=D21)*(G11="×"))+SUMPRODUCT((H11:I11=D21)*(J11="×"))+SUMPRODUCT((K11:L11=D21)*(M11="×"))+SUMPRODUCT((N11:O11=D21)*(P11="×"))+SUMPRODUCT((B13:C13=D21)*(D13="×"))+SUMPRODUCT((E13:F13=D21)*(G13="×"))+SUMPRODUCT((H13:I13=D21)*(J13="×"))+SUMPRODUCT((K13:L13=D21)*(M13="×"))+SUMPRODUCT((N13:O13=D21)*(P13="×"))+SUMPRODUCT((B15:C15=D21)*(D15="×"))+SUMPRODUCT((E15:F15=D21)*(G15="×"))+SUMPRODUCT((H15:I15=D21)*(J15="×"))+SUMPRODUCT((K15:L15=D21)*(M15="×"))+SUMPRODUCT((N15:O15=D21)*(P15="×"))+SUMPRODUCT((B17:C17=D21)*(D17="×"))+SUMPRODUCT((E17:F17=D21)*(G17="×"))+SUMPRODUCT((H17:I17=D21)*(J17="×"))+SUMPRODUCT((K17:L17=D21)*(M17="×"))+SUMPRODUCT((N17:O17=D21)*(P17="×")))))</f>
        <v/>
      </c>
      <c r="E23" s="19">
        <f>IF(E21="","",IF(E24="","",E24-(SUMPRODUCT((B5:C5=E21)*(D5="×"))+SUMPRODUCT((E5:F5=E21)*(G5="×"))+SUMPRODUCT((H5:I5=E21)*(J5="×"))+SUMPRODUCT((K5:L5=E21)*(M5="×"))+SUMPRODUCT((N5:O5=E21)*(P5="×"))+SUMPRODUCT((B7:C7=E21)*(D7="×"))+SUMPRODUCT((E7:F7=E21)*(G7="×"))+SUMPRODUCT((H7:I7=E21)*(J7="×"))+SUMPRODUCT((K7:L7=E21)*(M7="×"))+SUMPRODUCT((N7:O7=E21)*(P7="×"))+SUMPRODUCT((B9:C9=E21)*(D9="×"))+SUMPRODUCT((E9:F9=E21)*(G9="×"))+SUMPRODUCT((H9:I9=E21)*(J9="×"))+SUMPRODUCT((K9:L9=E21)*(M9="×"))+SUMPRODUCT((N9:O9=E21)*(P9="×"))+SUMPRODUCT((B11:C11=E21)*(D11="×"))+SUMPRODUCT((E11:F11=E21)*(G11="×"))+SUMPRODUCT((H11:I11=E21)*(J11="×"))+SUMPRODUCT((K11:L11=E21)*(M11="×"))+SUMPRODUCT((N11:O11=E21)*(P11="×"))+SUMPRODUCT((B13:C13=E21)*(D13="×"))+SUMPRODUCT((E13:F13=E21)*(G13="×"))+SUMPRODUCT((H13:I13=E21)*(J13="×"))+SUMPRODUCT((K13:L13=E21)*(M13="×"))+SUMPRODUCT((N13:O13=E21)*(P13="×"))+SUMPRODUCT((B15:C15=E21)*(D15="×"))+SUMPRODUCT((E15:F15=E21)*(G15="×"))+SUMPRODUCT((H15:I15=E21)*(J15="×"))+SUMPRODUCT((K15:L15=E21)*(M15="×"))+SUMPRODUCT((N15:O15=E21)*(P15="×"))+SUMPRODUCT((B17:C17=E21)*(D17="×"))+SUMPRODUCT((E17:F17=E21)*(G17="×"))+SUMPRODUCT((H17:I17=E21)*(J17="×"))+SUMPRODUCT((K17:L17=E21)*(M17="×"))+SUMPRODUCT((N17:O17=E21)*(P17="×")))))</f>
        <v/>
      </c>
      <c r="F23" s="19">
        <f>IF(F21="","",IF(F24="","",F24-(SUMPRODUCT((B5:C5=F21)*(D5="×"))+SUMPRODUCT((E5:F5=F21)*(G5="×"))+SUMPRODUCT((H5:I5=F21)*(J5="×"))+SUMPRODUCT((K5:L5=F21)*(M5="×"))+SUMPRODUCT((N5:O5=F21)*(P5="×"))+SUMPRODUCT((B7:C7=F21)*(D7="×"))+SUMPRODUCT((E7:F7=F21)*(G7="×"))+SUMPRODUCT((H7:I7=F21)*(J7="×"))+SUMPRODUCT((K7:L7=F21)*(M7="×"))+SUMPRODUCT((N7:O7=F21)*(P7="×"))+SUMPRODUCT((B9:C9=F21)*(D9="×"))+SUMPRODUCT((E9:F9=F21)*(G9="×"))+SUMPRODUCT((H9:I9=F21)*(J9="×"))+SUMPRODUCT((K9:L9=F21)*(M9="×"))+SUMPRODUCT((N9:O9=F21)*(P9="×"))+SUMPRODUCT((B11:C11=F21)*(D11="×"))+SUMPRODUCT((E11:F11=F21)*(G11="×"))+SUMPRODUCT((H11:I11=F21)*(J11="×"))+SUMPRODUCT((K11:L11=F21)*(M11="×"))+SUMPRODUCT((N11:O11=F21)*(P11="×"))+SUMPRODUCT((B13:C13=F21)*(D13="×"))+SUMPRODUCT((E13:F13=F21)*(G13="×"))+SUMPRODUCT((H13:I13=F21)*(J13="×"))+SUMPRODUCT((K13:L13=F21)*(M13="×"))+SUMPRODUCT((N13:O13=F21)*(P13="×"))+SUMPRODUCT((B15:C15=F21)*(D15="×"))+SUMPRODUCT((E15:F15=F21)*(G15="×"))+SUMPRODUCT((H15:I15=F21)*(J15="×"))+SUMPRODUCT((K15:L15=F21)*(M15="×"))+SUMPRODUCT((N15:O15=F21)*(P15="×"))+SUMPRODUCT((B17:C17=F21)*(D17="×"))+SUMPRODUCT((E17:F17=F21)*(G17="×"))+SUMPRODUCT((H17:I17=F21)*(J17="×"))+SUMPRODUCT((K17:L17=F21)*(M17="×"))+SUMPRODUCT((N17:O17=F21)*(P17="×")))))</f>
        <v/>
      </c>
      <c r="G23" s="19">
        <f>IF(G21="","",IF(G24="","",G24-(SUMPRODUCT((B5:C5=G21)*(D5="×"))+SUMPRODUCT((E5:F5=G21)*(G5="×"))+SUMPRODUCT((H5:I5=G21)*(J5="×"))+SUMPRODUCT((K5:L5=G21)*(M5="×"))+SUMPRODUCT((N5:O5=G21)*(P5="×"))+SUMPRODUCT((B7:C7=G21)*(D7="×"))+SUMPRODUCT((E7:F7=G21)*(G7="×"))+SUMPRODUCT((H7:I7=G21)*(J7="×"))+SUMPRODUCT((K7:L7=G21)*(M7="×"))+SUMPRODUCT((N7:O7=G21)*(P7="×"))+SUMPRODUCT((B9:C9=G21)*(D9="×"))+SUMPRODUCT((E9:F9=G21)*(G9="×"))+SUMPRODUCT((H9:I9=G21)*(J9="×"))+SUMPRODUCT((K9:L9=G21)*(M9="×"))+SUMPRODUCT((N9:O9=G21)*(P9="×"))+SUMPRODUCT((B11:C11=G21)*(D11="×"))+SUMPRODUCT((E11:F11=G21)*(G11="×"))+SUMPRODUCT((H11:I11=G21)*(J11="×"))+SUMPRODUCT((K11:L11=G21)*(M11="×"))+SUMPRODUCT((N11:O11=G21)*(P11="×"))+SUMPRODUCT((B13:C13=G21)*(D13="×"))+SUMPRODUCT((E13:F13=G21)*(G13="×"))+SUMPRODUCT((H13:I13=G21)*(J13="×"))+SUMPRODUCT((K13:L13=G21)*(M13="×"))+SUMPRODUCT((N13:O13=G21)*(P13="×"))+SUMPRODUCT((B15:C15=G21)*(D15="×"))+SUMPRODUCT((E15:F15=G21)*(G15="×"))+SUMPRODUCT((H15:I15=G21)*(J15="×"))+SUMPRODUCT((K15:L15=G21)*(M15="×"))+SUMPRODUCT((N15:O15=G21)*(P15="×"))+SUMPRODUCT((B17:C17=G21)*(D17="×"))+SUMPRODUCT((E17:F17=G21)*(G17="×"))+SUMPRODUCT((H17:I17=G21)*(J17="×"))+SUMPRODUCT((K17:L17=G21)*(M17="×"))+SUMPRODUCT((N17:O17=G21)*(P17="×")))))</f>
        <v/>
      </c>
      <c r="H23" s="19"/>
      <c r="I23" s="19"/>
      <c r="J23" s="19"/>
      <c r="K23" s="19"/>
      <c r="L23" s="19"/>
      <c r="M23" s="19">
        <f>IF(M24="","",M24-(SUMPRODUCT((B5:C5="特活")*(D5="×"))+SUMPRODUCT((B5:C5="学活")*(D5="×"))+SUMPRODUCT((E5:F5="特活")*(G5="×"))+SUMPRODUCT((E5:F5="学活")*(G5="×"))+SUMPRODUCT((H5:I5="特活")*(J5="×"))+SUMPRODUCT((H5:I5="学活")*(J5="×"))+SUMPRODUCT((K5:L5="特活")*(M5="×"))+SUMPRODUCT((K5:L5="学活")*(M5="×"))+SUMPRODUCT((N5:O5="特活")*(P5="×"))+SUMPRODUCT((N5:O5="学活")*(P5="×"))+SUMPRODUCT((B7:C7="特活")*(D7="×"))+SUMPRODUCT((B7:C7="学活")*(D7="×"))+SUMPRODUCT((E7:F7="特活")*(G7="×"))+SUMPRODUCT((E7:F7="学活")*(G7="×"))+SUMPRODUCT((H7:I7="特活")*(J7="×"))+SUMPRODUCT((H7:I7="学活")*(J7="×"))+SUMPRODUCT((K7:L7="特活")*(M7="×"))+SUMPRODUCT((K7:L7="学活")*(M7="×"))+SUMPRODUCT((N7:O7="特活")*(P7="×"))+SUMPRODUCT((N7:O7="学活")*(P7="×"))+SUMPRODUCT((B9:C9="特活")*(D9="×"))+SUMPRODUCT((B9:C9="学活")*(D9="×"))+SUMPRODUCT((E9:F9="特活")*(G9="×"))+SUMPRODUCT((E9:F9="学活")*(G9="×"))+SUMPRODUCT((H9:I9="特活")*(J9="×"))+SUMPRODUCT((H9:I9="学活")*(J9="×"))+SUMPRODUCT((K9:L9="特活")*(M9="×"))+SUMPRODUCT((K9:L9="学活")*(M9="×"))+SUMPRODUCT((N9:O9="特活")*(P9="×"))+SUMPRODUCT((N9:O9="学活")*(P9="×"))+SUMPRODUCT((B11:C11="特活")*(D11="×"))+SUMPRODUCT((B11:C11="学活")*(D11="×"))+SUMPRODUCT((E11:F11="特活")*(G11="×"))+SUMPRODUCT((E11:F11="学活")*(G11="×"))+SUMPRODUCT((H11:I11="特活")*(J11="×"))+SUMPRODUCT((H11:I11="学活")*(J11="×"))+SUMPRODUCT((K11:L11="特活")*(M11="×"))+SUMPRODUCT((K11:L11="学活")*(M11="×"))+SUMPRODUCT((N11:O11="特活")*(P11="×"))+SUMPRODUCT((N11:O11="学活")*(P11="×"))+SUMPRODUCT((B13:C13="特活")*(D13="×"))+SUMPRODUCT((B13:C13="学活")*(D13="×"))+SUMPRODUCT((E13:F13="特活")*(G13="×"))+SUMPRODUCT((E13:F13="学活")*(G13="×"))+SUMPRODUCT((H13:I13="特活")*(J13="×"))+SUMPRODUCT((H13:I13="学活")*(J13="×"))+SUMPRODUCT((K13:L13="特活")*(M13="×"))+SUMPRODUCT((K13:L13="学活")*(M13="×"))+SUMPRODUCT((N13:O13="特活")*(P13="×"))+SUMPRODUCT((N13:O13="学活")*(P13="×"))+SUMPRODUCT((B15:C15="特活")*(D15="×"))+SUMPRODUCT((B15:C15="学活")*(D15="×"))+SUMPRODUCT((E15:F15="特活")*(G15="×"))+SUMPRODUCT((E15:F15="学活")*(G15="×"))+SUMPRODUCT((H15:I15="特活")*(J15="×"))+SUMPRODUCT((H15:I15="学活")*(J15="×"))+SUMPRODUCT((K15:L15="特活")*(M15="×"))+SUMPRODUCT((K15:L15="学活")*(M15="×"))+SUMPRODUCT((N15:O15="特活")*(P15="×"))+SUMPRODUCT((N15:O15="学活")*(P15="×"))+SUMPRODUCT((B17:C17="特活")*(D17="×"))+SUMPRODUCT((B17:C17="学活")*(D17="×"))+SUMPRODUCT((E17:F17="特活")*(G17="×"))+SUMPRODUCT((E17:F17="学活")*(G17="×"))+SUMPRODUCT((H17:I17="特活")*(J17="×"))+SUMPRODUCT((H17:I17="学活")*(J17="×"))+SUMPRODUCT((K17:L17="特活")*(M17="×"))+SUMPRODUCT((K17:L17="学活")*(M17="×"))+SUMPRODUCT((N17:O17="特活")*(P17="×"))+SUMPRODUCT((N17:O17="学活")*(P17="×"))))</f>
        <v/>
      </c>
      <c r="N23" s="19">
        <f>IF(N24="","",N24-(SUMPRODUCT((B5:C5=N21)*(D5="×"))+SUMPRODUCT((E5:F5=N21)*(G5="×"))+SUMPRODUCT((H5:I5=N21)*(J5="×"))+SUMPRODUCT((K5:L5=N21)*(M5="×"))+SUMPRODUCT((N5:O5=N21)*(P5="×"))+SUMPRODUCT((B7:C7=N21)*(D7="×"))+SUMPRODUCT((E7:F7=N21)*(G7="×"))+SUMPRODUCT((H7:I7=N21)*(J7="×"))+SUMPRODUCT((K7:L7=N21)*(M7="×"))+SUMPRODUCT((N7:O7=N21)*(P7="×"))+SUMPRODUCT((B9:C9=N21)*(D9="×"))+SUMPRODUCT((E9:F9=N21)*(G9="×"))+SUMPRODUCT((H9:I9=N21)*(J9="×"))+SUMPRODUCT((K9:L9=N21)*(M9="×"))+SUMPRODUCT((N9:O9=N21)*(P9="×"))+SUMPRODUCT((B11:C11=N21)*(D11="×"))+SUMPRODUCT((E11:F11=N21)*(G11="×"))+SUMPRODUCT((H11:I11=N21)*(J11="×"))+SUMPRODUCT((K11:L11=N21)*(M11="×"))+SUMPRODUCT((N11:O11=N21)*(P11="×"))+SUMPRODUCT((B13:C13=N21)*(D13="×"))+SUMPRODUCT((E13:F13=N21)*(G13="×"))+SUMPRODUCT((H13:I13=N21)*(J13="×"))+SUMPRODUCT((K13:L13=N21)*(M13="×"))+SUMPRODUCT((N13:O13=N21)*(P13="×"))+SUMPRODUCT((B15:C15=N21)*(D15="×"))+SUMPRODUCT((E15:F15=N21)*(G15="×"))+SUMPRODUCT((H15:I15=N21)*(J15="×"))+SUMPRODUCT((K15:L15=N21)*(M15="×"))+SUMPRODUCT((N15:O15=N21)*(P15="×"))+SUMPRODUCT((B17:C17=N21)*(D17="×"))+SUMPRODUCT((E17:F17=N21)*(G17="×"))+SUMPRODUCT((H17:I17=N21)*(J17="×"))+SUMPRODUCT((K17:L17=N21)*(M17="×"))+SUMPRODUCT((N17:O17=N21)*(P17="×"))))</f>
        <v/>
      </c>
      <c r="O23" s="19">
        <f>IF(O24="","",O24-(SUMPRODUCT((B5:C5=O21)*(D5="×"))+SUMPRODUCT((E5:F5=O21)*(G5="×"))+SUMPRODUCT((H5:I5=O21)*(J5="×"))+SUMPRODUCT((K5:L5=O21)*(M5="×"))+SUMPRODUCT((N5:O5=O21)*(P5="×"))+SUMPRODUCT((B7:C7=O21)*(D7="×"))+SUMPRODUCT((E7:F7=O21)*(G7="×"))+SUMPRODUCT((H7:I7=O21)*(J7="×"))+SUMPRODUCT((K7:L7=O21)*(M7="×"))+SUMPRODUCT((N7:O7=O21)*(P7="×"))+SUMPRODUCT((B9:C9=O21)*(D9="×"))+SUMPRODUCT((E9:F9=O21)*(G9="×"))+SUMPRODUCT((H9:I9=O21)*(J9="×"))+SUMPRODUCT((K9:L9=O21)*(M9="×"))+SUMPRODUCT((N9:O9=O21)*(P9="×"))+SUMPRODUCT((B11:C11=O21)*(D11="×"))+SUMPRODUCT((E11:F11=O21)*(G11="×"))+SUMPRODUCT((H11:I11=O21)*(J11="×"))+SUMPRODUCT((K11:L11=O21)*(M11="×"))+SUMPRODUCT((N11:O11=O21)*(P11="×"))+SUMPRODUCT((B13:C13=O21)*(D13="×"))+SUMPRODUCT((E13:F13=O21)*(G13="×"))+SUMPRODUCT((H13:I13=O21)*(J13="×"))+SUMPRODUCT((K13:L13=O21)*(M13="×"))+SUMPRODUCT((N13:O13=O21)*(P13="×"))+SUMPRODUCT((B15:C15=O21)*(D15="×"))+SUMPRODUCT((E15:F15=O21)*(G15="×"))+SUMPRODUCT((H15:I15=O21)*(J15="×"))+SUMPRODUCT((K15:L15=O21)*(M15="×"))+SUMPRODUCT((N15:O15=O21)*(P15="×"))+SUMPRODUCT((B17:C17=O21)*(D17="×"))+SUMPRODUCT((E17:F17=O21)*(G17="×"))+SUMPRODUCT((H17:I17=O21)*(J17="×"))+SUMPRODUCT((K17:L17=O21)*(M17="×"))+SUMPRODUCT((N17:O17=O21)*(P17="×"))))</f>
        <v/>
      </c>
      <c r="P23" s="20">
        <f>IF(SUM(B23:O23)=0,"",SUM(B23:O23))</f>
        <v/>
      </c>
    </row>
    <row r="24" spans="1:16" ht="13.5" customHeight="1" x14ac:dyDescent="0.2">
      <c r="A24" s="36"/>
      <c r="B24" s="21">
        <f>IF(B21="","",IF(COUNTIF(B5:C5,B21)+COUNTIF(B5:C5,"*,"&amp;B21&amp;",*")+COUNTIF(E5:F5,B21)+COUNTIF(E5:F5,"*,"&amp;B21&amp;",*")+COUNTIF(H5:I5,B21)+COUNTIF(H5:I5,"*,"&amp;B21&amp;",*")+COUNTIF(K5:L5,B21)+COUNTIF(K5:L5,"*,"&amp;B21&amp;",*")+COUNTIF(N5:O5,B21)+COUNTIF(N5:O5,"*,"&amp;B21&amp;",*")+COUNTIF(B7:C7,B21)+COUNTIF(B7:C7,"*,"&amp;B21&amp;",*")+COUNTIF(E7:F7,B21)+COUNTIF(E7:F7,"*,"&amp;B21&amp;",*")+COUNTIF(H7:I7,B21)+COUNTIF(H7:I7,"*,"&amp;B21&amp;",*")+COUNTIF(K7:L7,B21)+COUNTIF(K7:L7,"*,"&amp;B21&amp;",*")+COUNTIF(N7:O7,B21)+COUNTIF(N7:O7,"*,"&amp;B21&amp;",*")+COUNTIF(B9:C9,B21)+COUNTIF(B9:C9,"*,"&amp;B21&amp;",*")+COUNTIF(E9:F9,B21)+COUNTIF(E9:F9,"*,"&amp;B21&amp;",*")+COUNTIF(H9:I9,B21)+COUNTIF(H9:I9,"*,"&amp;B21&amp;",*")+COUNTIF(K9:L9,B21)+COUNTIF(K9:L9,"*,"&amp;B21&amp;",*")+COUNTIF(N9:O9,B21)+COUNTIF(N9:O9,"*,"&amp;B21&amp;",*")+COUNTIF(B11:C11,B21)+COUNTIF(B11:C11,"*,"&amp;B21&amp;",*")+COUNTIF(E11:F11,B21)+COUNTIF(E11:F11,"*,"&amp;B21&amp;",*")+COUNTIF(H11:I11,B21)+COUNTIF(H11:I11,"*,"&amp;B21&amp;",*")+COUNTIF(K11:L11,B21)+COUNTIF(K11:L11,"*,"&amp;B21&amp;",*")+COUNTIF(N11:O11,B21)+COUNTIF(N11:O11,"*,"&amp;B21&amp;",*")+COUNTIF(B13:C13,B21)+COUNTIF(B13:C13,"*,"&amp;B21&amp;",*")+COUNTIF(E13:F13,B21)+COUNTIF(E13:F13,"*,"&amp;B21&amp;",*")+COUNTIF(H13:I13,B21)+COUNTIF(H13:I13,"*,"&amp;B21&amp;",*")+COUNTIF(K13:L13,B21)+COUNTIF(K13:L13,"*,"&amp;B21&amp;",*")+COUNTIF(N13:O13,B21)+COUNTIF(N13:O13,"*,"&amp;B21&amp;",*")+COUNTIF(B15:C15,B21)+COUNTIF(B15:C15,"*,"&amp;B21&amp;",*")+COUNTIF(E15:F15,B21)+COUNTIF(E15:F15,"*,"&amp;B21&amp;",*")+COUNTIF(H15:I15,B21)+COUNTIF(H15:I15,"*,"&amp;B21&amp;",*")+COUNTIF(K15:L15,B21)+COUNTIF(K15:L15,"*,"&amp;B21&amp;",*")+COUNTIF(N15:O15,B21)+COUNTIF(N15:O15,"*,"&amp;B21&amp;",*")+COUNTIF(B17:C17,B21)+COUNTIF(B17:C17,"*,"&amp;B21&amp;",*")+COUNTIF(E17:F17,B21)+COUNTIF(E17:F17,"*,"&amp;B21&amp;",*")+COUNTIF(H17:I17,B21)+COUNTIF(H17:I17,"*,"&amp;B21&amp;",*")+COUNTIF(K17:L17,B21)+COUNTIF(K17:L17,"*,"&amp;B21&amp;",*")+COUNTIF(N17:O17,B21)+COUNTIF(N17:O17,"*,"&amp;B21&amp;",*")=0,"",COUNTIF(B5:C5,B21)+COUNTIF(B5:C5,"*,"&amp;B21&amp;",*")+COUNTIF(E5:F5,B21)+COUNTIF(E5:F5,"*,"&amp;B21&amp;",*")+COUNTIF(H5:I5,B21)+COUNTIF(H5:I5,"*,"&amp;B21&amp;",*")+COUNTIF(K5:L5,B21)+COUNTIF(K5:L5,"*,"&amp;B21&amp;",*")+COUNTIF(N5:O5,B21)+COUNTIF(N5:O5,"*,"&amp;B21&amp;",*")+COUNTIF(B7:C7,B21)+COUNTIF(B7:C7,"*,"&amp;B21&amp;",*")+COUNTIF(E7:F7,B21)+COUNTIF(E7:F7,"*,"&amp;B21&amp;",*")+COUNTIF(H7:I7,B21)+COUNTIF(H7:I7,"*,"&amp;B21&amp;",*")+COUNTIF(K7:L7,B21)+COUNTIF(K7:L7,"*,"&amp;B21&amp;",*")+COUNTIF(N7:O7,B21)+COUNTIF(N7:O7,"*,"&amp;B21&amp;",*")+COUNTIF(B9:C9,B21)+COUNTIF(B9:C9,"*,"&amp;B21&amp;",*")+COUNTIF(E9:F9,B21)+COUNTIF(E9:F9,"*,"&amp;B21&amp;",*")+COUNTIF(H9:I9,B21)+COUNTIF(H9:I9,"*,"&amp;B21&amp;",*")+COUNTIF(K9:L9,B21)+COUNTIF(K9:L9,"*,"&amp;B21&amp;",*")+COUNTIF(N9:O9,B21)+COUNTIF(N9:O9,"*,"&amp;B21&amp;",*")+COUNTIF(B11:C11,B21)+COUNTIF(B11:C11,"*,"&amp;B21&amp;",*")+COUNTIF(E11:F11,B21)+COUNTIF(E11:F11,"*,"&amp;B21&amp;",*")+COUNTIF(H11:I11,B21)+COUNTIF(H11:I11,"*,"&amp;B21&amp;",*")+COUNTIF(K11:L11,B21)+COUNTIF(K11:L11,"*,"&amp;B21&amp;",*")+COUNTIF(N11:O11,B21)+COUNTIF(N11:O11,"*,"&amp;B21&amp;",*")+COUNTIF(B13:C13,B21)+COUNTIF(B13:C13,"*,"&amp;B21&amp;",*")+COUNTIF(E13:F13,B21)+COUNTIF(E13:F13,"*,"&amp;B21&amp;",*")+COUNTIF(H13:I13,B21)+COUNTIF(H13:I13,"*,"&amp;B21&amp;",*")+COUNTIF(K13:L13,B21)+COUNTIF(K13:L13,"*,"&amp;B21&amp;",*")+COUNTIF(N13:O13,B21)+COUNTIF(N13:O13,"*,"&amp;B21&amp;",*")+COUNTIF(B15:C15,B21)+COUNTIF(B15:C15,"*,"&amp;B21&amp;",*")+COUNTIF(E15:F15,B21)+COUNTIF(E15:F15,"*,"&amp;B21&amp;",*")+COUNTIF(H15:I15,B21)+COUNTIF(H15:I15,"*,"&amp;B21&amp;",*")+COUNTIF(K15:L15,B21)+COUNTIF(K15:L15,"*,"&amp;B21&amp;",*")+COUNTIF(N15:O15,B21)+COUNTIF(N15:O15,"*,"&amp;B21&amp;",*")+COUNTIF(B17:C17,B21)+COUNTIF(B17:C17,"*,"&amp;B21&amp;",*")+COUNTIF(E17:F17,B21)+COUNTIF(E17:F17,"*,"&amp;B21&amp;",*")+COUNTIF(H17:I17,B21)+COUNTIF(H17:I17,"*,"&amp;B21&amp;",*")+COUNTIF(K17:L17,B21)+COUNTIF(K17:L17,"*,"&amp;B21&amp;",*")+COUNTIF(N17:O17,B21)+COUNTIF(N17:O17,"*,"&amp;B21&amp;",*")))</f>
        <v/>
      </c>
      <c r="C24" s="21">
        <f>IF(C21="","",IF(COUNTIF(B5:C5,C21)+COUNTIF(B5:C5,"*,"&amp;C21&amp;",*")+COUNTIF(E5:F5,C21)+COUNTIF(E5:F5,"*,"&amp;C21&amp;",*")+COUNTIF(H5:I5,C21)+COUNTIF(H5:I5,"*,"&amp;C21&amp;",*")+COUNTIF(K5:L5,C21)+COUNTIF(K5:L5,"*,"&amp;C21&amp;",*")+COUNTIF(N5:O5,C21)+COUNTIF(N5:O5,"*,"&amp;C21&amp;",*")+COUNTIF(B7:C7,C21)+COUNTIF(B7:C7,"*,"&amp;C21&amp;",*")+COUNTIF(E7:F7,C21)+COUNTIF(E7:F7,"*,"&amp;C21&amp;",*")+COUNTIF(H7:I7,C21)+COUNTIF(H7:I7,"*,"&amp;C21&amp;",*")+COUNTIF(K7:L7,C21)+COUNTIF(K7:L7,"*,"&amp;C21&amp;",*")+COUNTIF(N7:O7,C21)+COUNTIF(N7:O7,"*,"&amp;C21&amp;",*")+COUNTIF(B9:C9,C21)+COUNTIF(B9:C9,"*,"&amp;C21&amp;",*")+COUNTIF(E9:F9,C21)+COUNTIF(E9:F9,"*,"&amp;C21&amp;",*")+COUNTIF(H9:I9,C21)+COUNTIF(H9:I9,"*,"&amp;C21&amp;",*")+COUNTIF(K9:L9,C21)+COUNTIF(K9:L9,"*,"&amp;C21&amp;",*")+COUNTIF(N9:O9,C21)+COUNTIF(N9:O9,"*,"&amp;C21&amp;",*")+COUNTIF(B11:C11,C21)+COUNTIF(B11:C11,"*,"&amp;C21&amp;",*")+COUNTIF(E11:F11,C21)+COUNTIF(E11:F11,"*,"&amp;C21&amp;",*")+COUNTIF(H11:I11,C21)+COUNTIF(H11:I11,"*,"&amp;C21&amp;",*")+COUNTIF(K11:L11,C21)+COUNTIF(K11:L11,"*,"&amp;C21&amp;",*")+COUNTIF(N11:O11,C21)+COUNTIF(N11:O11,"*,"&amp;C21&amp;",*")+COUNTIF(B13:C13,C21)+COUNTIF(B13:C13,"*,"&amp;C21&amp;",*")+COUNTIF(E13:F13,C21)+COUNTIF(E13:F13,"*,"&amp;C21&amp;",*")+COUNTIF(H13:I13,C21)+COUNTIF(H13:I13,"*,"&amp;C21&amp;",*")+COUNTIF(K13:L13,C21)+COUNTIF(K13:L13,"*,"&amp;C21&amp;",*")+COUNTIF(N13:O13,C21)+COUNTIF(N13:O13,"*,"&amp;C21&amp;",*")+COUNTIF(B15:C15,C21)+COUNTIF(B15:C15,"*,"&amp;C21&amp;",*")+COUNTIF(E15:F15,C21)+COUNTIF(E15:F15,"*,"&amp;C21&amp;",*")+COUNTIF(H15:I15,C21)+COUNTIF(H15:I15,"*,"&amp;C21&amp;",*")+COUNTIF(K15:L15,C21)+COUNTIF(K15:L15,"*,"&amp;C21&amp;",*")+COUNTIF(N15:O15,C21)+COUNTIF(N15:O15,"*,"&amp;C21&amp;",*")+COUNTIF(B17:C17,C21)+COUNTIF(B17:C17,"*,"&amp;C21&amp;",*")+COUNTIF(E17:F17,C21)+COUNTIF(E17:F17,"*,"&amp;C21&amp;",*")+COUNTIF(H17:I17,C21)+COUNTIF(H17:I17,"*,"&amp;C21&amp;",*")+COUNTIF(K17:L17,C21)+COUNTIF(K17:L17,"*,"&amp;C21&amp;",*")+COUNTIF(N17:O17,C21)+COUNTIF(N17:O17,"*,"&amp;C21&amp;",*")=0,"",COUNTIF(B5:C5,C21)+COUNTIF(B5:C5,"*,"&amp;C21&amp;",*")+COUNTIF(E5:F5,C21)+COUNTIF(E5:F5,"*,"&amp;C21&amp;",*")+COUNTIF(H5:I5,C21)+COUNTIF(H5:I5,"*,"&amp;C21&amp;",*")+COUNTIF(K5:L5,C21)+COUNTIF(K5:L5,"*,"&amp;C21&amp;",*")+COUNTIF(N5:O5,C21)+COUNTIF(N5:O5,"*,"&amp;C21&amp;",*")+COUNTIF(B7:C7,C21)+COUNTIF(B7:C7,"*,"&amp;C21&amp;",*")+COUNTIF(E7:F7,C21)+COUNTIF(E7:F7,"*,"&amp;C21&amp;",*")+COUNTIF(H7:I7,C21)+COUNTIF(H7:I7,"*,"&amp;C21&amp;",*")+COUNTIF(K7:L7,C21)+COUNTIF(K7:L7,"*,"&amp;C21&amp;",*")+COUNTIF(N7:O7,C21)+COUNTIF(N7:O7,"*,"&amp;C21&amp;",*")+COUNTIF(B9:C9,C21)+COUNTIF(B9:C9,"*,"&amp;C21&amp;",*")+COUNTIF(E9:F9,C21)+COUNTIF(E9:F9,"*,"&amp;C21&amp;",*")+COUNTIF(H9:I9,C21)+COUNTIF(H9:I9,"*,"&amp;C21&amp;",*")+COUNTIF(K9:L9,C21)+COUNTIF(K9:L9,"*,"&amp;C21&amp;",*")+COUNTIF(N9:O9,C21)+COUNTIF(N9:O9,"*,"&amp;C21&amp;",*")+COUNTIF(B11:C11,C21)+COUNTIF(B11:C11,"*,"&amp;C21&amp;",*")+COUNTIF(E11:F11,C21)+COUNTIF(E11:F11,"*,"&amp;C21&amp;",*")+COUNTIF(H11:I11,C21)+COUNTIF(H11:I11,"*,"&amp;C21&amp;",*")+COUNTIF(K11:L11,C21)+COUNTIF(K11:L11,"*,"&amp;C21&amp;",*")+COUNTIF(N11:O11,C21)+COUNTIF(N11:O11,"*,"&amp;C21&amp;",*")+COUNTIF(B13:C13,C21)+COUNTIF(B13:C13,"*,"&amp;C21&amp;",*")+COUNTIF(E13:F13,C21)+COUNTIF(E13:F13,"*,"&amp;C21&amp;",*")+COUNTIF(H13:I13,C21)+COUNTIF(H13:I13,"*,"&amp;C21&amp;",*")+COUNTIF(K13:L13,C21)+COUNTIF(K13:L13,"*,"&amp;C21&amp;",*")+COUNTIF(N13:O13,C21)+COUNTIF(N13:O13,"*,"&amp;C21&amp;",*")+COUNTIF(B15:C15,C21)+COUNTIF(B15:C15,"*,"&amp;C21&amp;",*")+COUNTIF(E15:F15,C21)+COUNTIF(E15:F15,"*,"&amp;C21&amp;",*")+COUNTIF(H15:I15,C21)+COUNTIF(H15:I15,"*,"&amp;C21&amp;",*")+COUNTIF(K15:L15,C21)+COUNTIF(K15:L15,"*,"&amp;C21&amp;",*")+COUNTIF(N15:O15,C21)+COUNTIF(N15:O15,"*,"&amp;C21&amp;",*")+COUNTIF(B17:C17,C21)+COUNTIF(B17:C17,"*,"&amp;C21&amp;",*")+COUNTIF(E17:F17,C21)+COUNTIF(E17:F17,"*,"&amp;C21&amp;",*")+COUNTIF(H17:I17,C21)+COUNTIF(H17:I17,"*,"&amp;C21&amp;",*")+COUNTIF(K17:L17,C21)+COUNTIF(K17:L17,"*,"&amp;C21&amp;",*")+COUNTIF(N17:O17,C21)+COUNTIF(N17:O17,"*,"&amp;C21&amp;",*")))</f>
        <v/>
      </c>
      <c r="D24" s="21">
        <f>IF(D21="","",IF(COUNTIF(B5:C5,D21)+COUNTIF(B5:C5,"*,"&amp;D21&amp;",*")+COUNTIF(E5:F5,D21)+COUNTIF(E5:F5,"*,"&amp;D21&amp;",*")+COUNTIF(H5:I5,D21)+COUNTIF(H5:I5,"*,"&amp;D21&amp;",*")+COUNTIF(K5:L5,D21)+COUNTIF(K5:L5,"*,"&amp;D21&amp;",*")+COUNTIF(N5:O5,D21)+COUNTIF(N5:O5,"*,"&amp;D21&amp;",*")+COUNTIF(B7:C7,D21)+COUNTIF(B7:C7,"*,"&amp;D21&amp;",*")+COUNTIF(E7:F7,D21)+COUNTIF(E7:F7,"*,"&amp;D21&amp;",*")+COUNTIF(H7:I7,D21)+COUNTIF(H7:I7,"*,"&amp;D21&amp;",*")+COUNTIF(K7:L7,D21)+COUNTIF(K7:L7,"*,"&amp;D21&amp;",*")+COUNTIF(N7:O7,D21)+COUNTIF(N7:O7,"*,"&amp;D21&amp;",*")+COUNTIF(B9:C9,D21)+COUNTIF(B9:C9,"*,"&amp;D21&amp;",*")+COUNTIF(E9:F9,D21)+COUNTIF(E9:F9,"*,"&amp;D21&amp;",*")+COUNTIF(H9:I9,D21)+COUNTIF(H9:I9,"*,"&amp;D21&amp;",*")+COUNTIF(K9:L9,D21)+COUNTIF(K9:L9,"*,"&amp;D21&amp;",*")+COUNTIF(N9:O9,D21)+COUNTIF(N9:O9,"*,"&amp;D21&amp;",*")+COUNTIF(B11:C11,D21)+COUNTIF(B11:C11,"*,"&amp;D21&amp;",*")+COUNTIF(E11:F11,D21)+COUNTIF(E11:F11,"*,"&amp;D21&amp;",*")+COUNTIF(H11:I11,D21)+COUNTIF(H11:I11,"*,"&amp;D21&amp;",*")+COUNTIF(K11:L11,D21)+COUNTIF(K11:L11,"*,"&amp;D21&amp;",*")+COUNTIF(N11:O11,D21)+COUNTIF(N11:O11,"*,"&amp;D21&amp;",*")+COUNTIF(B13:C13,D21)+COUNTIF(B13:C13,"*,"&amp;D21&amp;",*")+COUNTIF(E13:F13,D21)+COUNTIF(E13:F13,"*,"&amp;D21&amp;",*")+COUNTIF(H13:I13,D21)+COUNTIF(H13:I13,"*,"&amp;D21&amp;",*")+COUNTIF(K13:L13,D21)+COUNTIF(K13:L13,"*,"&amp;D21&amp;",*")+COUNTIF(N13:O13,D21)+COUNTIF(N13:O13,"*,"&amp;D21&amp;",*")+COUNTIF(B15:C15,D21)+COUNTIF(B15:C15,"*,"&amp;D21&amp;",*")+COUNTIF(E15:F15,D21)+COUNTIF(E15:F15,"*,"&amp;D21&amp;",*")+COUNTIF(H15:I15,D21)+COUNTIF(H15:I15,"*,"&amp;D21&amp;",*")+COUNTIF(K15:L15,D21)+COUNTIF(K15:L15,"*,"&amp;D21&amp;",*")+COUNTIF(N15:O15,D21)+COUNTIF(N15:O15,"*,"&amp;D21&amp;",*")+COUNTIF(B17:C17,D21)+COUNTIF(B17:C17,"*,"&amp;D21&amp;",*")+COUNTIF(E17:F17,D21)+COUNTIF(E17:F17,"*,"&amp;D21&amp;",*")+COUNTIF(H17:I17,D21)+COUNTIF(H17:I17,"*,"&amp;D21&amp;",*")+COUNTIF(K17:L17,D21)+COUNTIF(K17:L17,"*,"&amp;D21&amp;",*")+COUNTIF(N17:O17,D21)+COUNTIF(N17:O17,"*,"&amp;D21&amp;",*")=0,"",COUNTIF(B5:C5,D21)+COUNTIF(B5:C5,"*,"&amp;D21&amp;",*")+COUNTIF(E5:F5,D21)+COUNTIF(E5:F5,"*,"&amp;D21&amp;",*")+COUNTIF(H5:I5,D21)+COUNTIF(H5:I5,"*,"&amp;D21&amp;",*")+COUNTIF(K5:L5,D21)+COUNTIF(K5:L5,"*,"&amp;D21&amp;",*")+COUNTIF(N5:O5,D21)+COUNTIF(N5:O5,"*,"&amp;D21&amp;",*")+COUNTIF(B7:C7,D21)+COUNTIF(B7:C7,"*,"&amp;D21&amp;",*")+COUNTIF(E7:F7,D21)+COUNTIF(E7:F7,"*,"&amp;D21&amp;",*")+COUNTIF(H7:I7,D21)+COUNTIF(H7:I7,"*,"&amp;D21&amp;",*")+COUNTIF(K7:L7,D21)+COUNTIF(K7:L7,"*,"&amp;D21&amp;",*")+COUNTIF(N7:O7,D21)+COUNTIF(N7:O7,"*,"&amp;D21&amp;",*")+COUNTIF(B9:C9,D21)+COUNTIF(B9:C9,"*,"&amp;D21&amp;",*")+COUNTIF(E9:F9,D21)+COUNTIF(E9:F9,"*,"&amp;D21&amp;",*")+COUNTIF(H9:I9,D21)+COUNTIF(H9:I9,"*,"&amp;D21&amp;",*")+COUNTIF(K9:L9,D21)+COUNTIF(K9:L9,"*,"&amp;D21&amp;",*")+COUNTIF(N9:O9,D21)+COUNTIF(N9:O9,"*,"&amp;D21&amp;",*")+COUNTIF(B11:C11,D21)+COUNTIF(B11:C11,"*,"&amp;D21&amp;",*")+COUNTIF(E11:F11,D21)+COUNTIF(E11:F11,"*,"&amp;D21&amp;",*")+COUNTIF(H11:I11,D21)+COUNTIF(H11:I11,"*,"&amp;D21&amp;",*")+COUNTIF(K11:L11,D21)+COUNTIF(K11:L11,"*,"&amp;D21&amp;",*")+COUNTIF(N11:O11,D21)+COUNTIF(N11:O11,"*,"&amp;D21&amp;",*")+COUNTIF(B13:C13,D21)+COUNTIF(B13:C13,"*,"&amp;D21&amp;",*")+COUNTIF(E13:F13,D21)+COUNTIF(E13:F13,"*,"&amp;D21&amp;",*")+COUNTIF(H13:I13,D21)+COUNTIF(H13:I13,"*,"&amp;D21&amp;",*")+COUNTIF(K13:L13,D21)+COUNTIF(K13:L13,"*,"&amp;D21&amp;",*")+COUNTIF(N13:O13,D21)+COUNTIF(N13:O13,"*,"&amp;D21&amp;",*")+COUNTIF(B15:C15,D21)+COUNTIF(B15:C15,"*,"&amp;D21&amp;",*")+COUNTIF(E15:F15,D21)+COUNTIF(E15:F15,"*,"&amp;D21&amp;",*")+COUNTIF(H15:I15,D21)+COUNTIF(H15:I15,"*,"&amp;D21&amp;",*")+COUNTIF(K15:L15,D21)+COUNTIF(K15:L15,"*,"&amp;D21&amp;",*")+COUNTIF(N15:O15,D21)+COUNTIF(N15:O15,"*,"&amp;D21&amp;",*")+COUNTIF(B17:C17,D21)+COUNTIF(B17:C17,"*,"&amp;D21&amp;",*")+COUNTIF(E17:F17,D21)+COUNTIF(E17:F17,"*,"&amp;D21&amp;",*")+COUNTIF(H17:I17,D21)+COUNTIF(H17:I17,"*,"&amp;D21&amp;",*")+COUNTIF(K17:L17,D21)+COUNTIF(K17:L17,"*,"&amp;D21&amp;",*")+COUNTIF(N17:O17,D21)+COUNTIF(N17:O17,"*,"&amp;D21&amp;",*")))</f>
        <v/>
      </c>
      <c r="E24" s="21">
        <f>IF(E21="","",IF(COUNTIF(B5:C5,E21)+COUNTIF(B5:C5,"*,"&amp;E21&amp;",*")+COUNTIF(E5:F5,E21)+COUNTIF(E5:F5,"*,"&amp;E21&amp;",*")+COUNTIF(H5:I5,E21)+COUNTIF(H5:I5,"*,"&amp;E21&amp;",*")+COUNTIF(K5:L5,E21)+COUNTIF(K5:L5,"*,"&amp;E21&amp;",*")+COUNTIF(N5:O5,E21)+COUNTIF(N5:O5,"*,"&amp;E21&amp;",*")+COUNTIF(B7:C7,E21)+COUNTIF(B7:C7,"*,"&amp;E21&amp;",*")+COUNTIF(E7:F7,E21)+COUNTIF(E7:F7,"*,"&amp;E21&amp;",*")+COUNTIF(H7:I7,E21)+COUNTIF(H7:I7,"*,"&amp;E21&amp;",*")+COUNTIF(K7:L7,E21)+COUNTIF(K7:L7,"*,"&amp;E21&amp;",*")+COUNTIF(N7:O7,E21)+COUNTIF(N7:O7,"*,"&amp;E21&amp;",*")+COUNTIF(B9:C9,E21)+COUNTIF(B9:C9,"*,"&amp;E21&amp;",*")+COUNTIF(E9:F9,E21)+COUNTIF(E9:F9,"*,"&amp;E21&amp;",*")+COUNTIF(H9:I9,E21)+COUNTIF(H9:I9,"*,"&amp;E21&amp;",*")+COUNTIF(K9:L9,E21)+COUNTIF(K9:L9,"*,"&amp;E21&amp;",*")+COUNTIF(N9:O9,E21)+COUNTIF(N9:O9,"*,"&amp;E21&amp;",*")+COUNTIF(B11:C11,E21)+COUNTIF(B11:C11,"*,"&amp;E21&amp;",*")+COUNTIF(E11:F11,E21)+COUNTIF(E11:F11,"*,"&amp;E21&amp;",*")+COUNTIF(H11:I11,E21)+COUNTIF(H11:I11,"*,"&amp;E21&amp;",*")+COUNTIF(K11:L11,E21)+COUNTIF(K11:L11,"*,"&amp;E21&amp;",*")+COUNTIF(N11:O11,E21)+COUNTIF(N11:O11,"*,"&amp;E21&amp;",*")+COUNTIF(B13:C13,E21)+COUNTIF(B13:C13,"*,"&amp;E21&amp;",*")+COUNTIF(E13:F13,E21)+COUNTIF(E13:F13,"*,"&amp;E21&amp;",*")+COUNTIF(H13:I13,E21)+COUNTIF(H13:I13,"*,"&amp;E21&amp;",*")+COUNTIF(K13:L13,E21)+COUNTIF(K13:L13,"*,"&amp;E21&amp;",*")+COUNTIF(N13:O13,E21)+COUNTIF(N13:O13,"*,"&amp;E21&amp;",*")+COUNTIF(B15:C15,E21)+COUNTIF(B15:C15,"*,"&amp;E21&amp;",*")+COUNTIF(E15:F15,E21)+COUNTIF(E15:F15,"*,"&amp;E21&amp;",*")+COUNTIF(H15:I15,E21)+COUNTIF(H15:I15,"*,"&amp;E21&amp;",*")+COUNTIF(K15:L15,E21)+COUNTIF(K15:L15,"*,"&amp;E21&amp;",*")+COUNTIF(N15:O15,E21)+COUNTIF(N15:O15,"*,"&amp;E21&amp;",*")+COUNTIF(B17:C17,E21)+COUNTIF(B17:C17,"*,"&amp;E21&amp;",*")+COUNTIF(E17:F17,E21)+COUNTIF(E17:F17,"*,"&amp;E21&amp;",*")+COUNTIF(H17:I17,E21)+COUNTIF(H17:I17,"*,"&amp;E21&amp;",*")+COUNTIF(K17:L17,E21)+COUNTIF(K17:L17,"*,"&amp;E21&amp;",*")+COUNTIF(N17:O17,E21)+COUNTIF(N17:O17,"*,"&amp;E21&amp;",*")=0,"",COUNTIF(B5:C5,E21)+COUNTIF(B5:C5,"*,"&amp;E21&amp;",*")+COUNTIF(E5:F5,E21)+COUNTIF(E5:F5,"*,"&amp;E21&amp;",*")+COUNTIF(H5:I5,E21)+COUNTIF(H5:I5,"*,"&amp;E21&amp;",*")+COUNTIF(K5:L5,E21)+COUNTIF(K5:L5,"*,"&amp;E21&amp;",*")+COUNTIF(N5:O5,E21)+COUNTIF(N5:O5,"*,"&amp;E21&amp;",*")+COUNTIF(B7:C7,E21)+COUNTIF(B7:C7,"*,"&amp;E21&amp;",*")+COUNTIF(E7:F7,E21)+COUNTIF(E7:F7,"*,"&amp;E21&amp;",*")+COUNTIF(H7:I7,E21)+COUNTIF(H7:I7,"*,"&amp;E21&amp;",*")+COUNTIF(K7:L7,E21)+COUNTIF(K7:L7,"*,"&amp;E21&amp;",*")+COUNTIF(N7:O7,E21)+COUNTIF(N7:O7,"*,"&amp;E21&amp;",*")+COUNTIF(B9:C9,E21)+COUNTIF(B9:C9,"*,"&amp;E21&amp;",*")+COUNTIF(E9:F9,E21)+COUNTIF(E9:F9,"*,"&amp;E21&amp;",*")+COUNTIF(H9:I9,E21)+COUNTIF(H9:I9,"*,"&amp;E21&amp;",*")+COUNTIF(K9:L9,E21)+COUNTIF(K9:L9,"*,"&amp;E21&amp;",*")+COUNTIF(N9:O9,E21)+COUNTIF(N9:O9,"*,"&amp;E21&amp;",*")+COUNTIF(B11:C11,E21)+COUNTIF(B11:C11,"*,"&amp;E21&amp;",*")+COUNTIF(E11:F11,E21)+COUNTIF(E11:F11,"*,"&amp;E21&amp;",*")+COUNTIF(H11:I11,E21)+COUNTIF(H11:I11,"*,"&amp;E21&amp;",*")+COUNTIF(K11:L11,E21)+COUNTIF(K11:L11,"*,"&amp;E21&amp;",*")+COUNTIF(N11:O11,E21)+COUNTIF(N11:O11,"*,"&amp;E21&amp;",*")+COUNTIF(B13:C13,E21)+COUNTIF(B13:C13,"*,"&amp;E21&amp;",*")+COUNTIF(E13:F13,E21)+COUNTIF(E13:F13,"*,"&amp;E21&amp;",*")+COUNTIF(H13:I13,E21)+COUNTIF(H13:I13,"*,"&amp;E21&amp;",*")+COUNTIF(K13:L13,E21)+COUNTIF(K13:L13,"*,"&amp;E21&amp;",*")+COUNTIF(N13:O13,E21)+COUNTIF(N13:O13,"*,"&amp;E21&amp;",*")+COUNTIF(B15:C15,E21)+COUNTIF(B15:C15,"*,"&amp;E21&amp;",*")+COUNTIF(E15:F15,E21)+COUNTIF(E15:F15,"*,"&amp;E21&amp;",*")+COUNTIF(H15:I15,E21)+COUNTIF(H15:I15,"*,"&amp;E21&amp;",*")+COUNTIF(K15:L15,E21)+COUNTIF(K15:L15,"*,"&amp;E21&amp;",*")+COUNTIF(N15:O15,E21)+COUNTIF(N15:O15,"*,"&amp;E21&amp;",*")+COUNTIF(B17:C17,E21)+COUNTIF(B17:C17,"*,"&amp;E21&amp;",*")+COUNTIF(E17:F17,E21)+COUNTIF(E17:F17,"*,"&amp;E21&amp;",*")+COUNTIF(H17:I17,E21)+COUNTIF(H17:I17,"*,"&amp;E21&amp;",*")+COUNTIF(K17:L17,E21)+COUNTIF(K17:L17,"*,"&amp;E21&amp;",*")+COUNTIF(N17:O17,E21)+COUNTIF(N17:O17,"*,"&amp;E21&amp;",*")))</f>
        <v/>
      </c>
      <c r="F24" s="21">
        <f>IF(F21="","",IF(COUNTIF(B5:C5,F21)+COUNTIF(B5:C5,"*,"&amp;F21&amp;",*")+COUNTIF(E5:F5,F21)+COUNTIF(E5:F5,"*,"&amp;F21&amp;",*")+COUNTIF(H5:I5,F21)+COUNTIF(H5:I5,"*,"&amp;F21&amp;",*")+COUNTIF(K5:L5,F21)+COUNTIF(K5:L5,"*,"&amp;F21&amp;",*")+COUNTIF(N5:O5,F21)+COUNTIF(N5:O5,"*,"&amp;F21&amp;",*")+COUNTIF(B7:C7,F21)+COUNTIF(B7:C7,"*,"&amp;F21&amp;",*")+COUNTIF(E7:F7,F21)+COUNTIF(E7:F7,"*,"&amp;F21&amp;",*")+COUNTIF(H7:I7,F21)+COUNTIF(H7:I7,"*,"&amp;F21&amp;",*")+COUNTIF(K7:L7,F21)+COUNTIF(K7:L7,"*,"&amp;F21&amp;",*")+COUNTIF(N7:O7,F21)+COUNTIF(N7:O7,"*,"&amp;F21&amp;",*")+COUNTIF(B9:C9,F21)+COUNTIF(B9:C9,"*,"&amp;F21&amp;",*")+COUNTIF(E9:F9,F21)+COUNTIF(E9:F9,"*,"&amp;F21&amp;",*")+COUNTIF(H9:I9,F21)+COUNTIF(H9:I9,"*,"&amp;F21&amp;",*")+COUNTIF(K9:L9,F21)+COUNTIF(K9:L9,"*,"&amp;F21&amp;",*")+COUNTIF(N9:O9,F21)+COUNTIF(N9:O9,"*,"&amp;F21&amp;",*")+COUNTIF(B11:C11,F21)+COUNTIF(B11:C11,"*,"&amp;F21&amp;",*")+COUNTIF(E11:F11,F21)+COUNTIF(E11:F11,"*,"&amp;F21&amp;",*")+COUNTIF(H11:I11,F21)+COUNTIF(H11:I11,"*,"&amp;F21&amp;",*")+COUNTIF(K11:L11,F21)+COUNTIF(K11:L11,"*,"&amp;F21&amp;",*")+COUNTIF(N11:O11,F21)+COUNTIF(N11:O11,"*,"&amp;F21&amp;",*")+COUNTIF(B13:C13,F21)+COUNTIF(B13:C13,"*,"&amp;F21&amp;",*")+COUNTIF(E13:F13,F21)+COUNTIF(E13:F13,"*,"&amp;F21&amp;",*")+COUNTIF(H13:I13,F21)+COUNTIF(H13:I13,"*,"&amp;F21&amp;",*")+COUNTIF(K13:L13,F21)+COUNTIF(K13:L13,"*,"&amp;F21&amp;",*")+COUNTIF(N13:O13,F21)+COUNTIF(N13:O13,"*,"&amp;F21&amp;",*")+COUNTIF(B15:C15,F21)+COUNTIF(B15:C15,"*,"&amp;F21&amp;",*")+COUNTIF(E15:F15,F21)+COUNTIF(E15:F15,"*,"&amp;F21&amp;",*")+COUNTIF(H15:I15,F21)+COUNTIF(H15:I15,"*,"&amp;F21&amp;",*")+COUNTIF(K15:L15,F21)+COUNTIF(K15:L15,"*,"&amp;F21&amp;",*")+COUNTIF(N15:O15,F21)+COUNTIF(N15:O15,"*,"&amp;F21&amp;",*")+COUNTIF(B17:C17,F21)+COUNTIF(B17:C17,"*,"&amp;F21&amp;",*")+COUNTIF(E17:F17,F21)+COUNTIF(E17:F17,"*,"&amp;F21&amp;",*")+COUNTIF(H17:I17,F21)+COUNTIF(H17:I17,"*,"&amp;F21&amp;",*")+COUNTIF(K17:L17,F21)+COUNTIF(K17:L17,"*,"&amp;F21&amp;",*")+COUNTIF(N17:O17,F21)+COUNTIF(N17:O17,"*,"&amp;F21&amp;",*")=0,"",COUNTIF(B5:C5,F21)+COUNTIF(B5:C5,"*,"&amp;F21&amp;",*")+COUNTIF(E5:F5,F21)+COUNTIF(E5:F5,"*,"&amp;F21&amp;",*")+COUNTIF(H5:I5,F21)+COUNTIF(H5:I5,"*,"&amp;F21&amp;",*")+COUNTIF(K5:L5,F21)+COUNTIF(K5:L5,"*,"&amp;F21&amp;",*")+COUNTIF(N5:O5,F21)+COUNTIF(N5:O5,"*,"&amp;F21&amp;",*")+COUNTIF(B7:C7,F21)+COUNTIF(B7:C7,"*,"&amp;F21&amp;",*")+COUNTIF(E7:F7,F21)+COUNTIF(E7:F7,"*,"&amp;F21&amp;",*")+COUNTIF(H7:I7,F21)+COUNTIF(H7:I7,"*,"&amp;F21&amp;",*")+COUNTIF(K7:L7,F21)+COUNTIF(K7:L7,"*,"&amp;F21&amp;",*")+COUNTIF(N7:O7,F21)+COUNTIF(N7:O7,"*,"&amp;F21&amp;",*")+COUNTIF(B9:C9,F21)+COUNTIF(B9:C9,"*,"&amp;F21&amp;",*")+COUNTIF(E9:F9,F21)+COUNTIF(E9:F9,"*,"&amp;F21&amp;",*")+COUNTIF(H9:I9,F21)+COUNTIF(H9:I9,"*,"&amp;F21&amp;",*")+COUNTIF(K9:L9,F21)+COUNTIF(K9:L9,"*,"&amp;F21&amp;",*")+COUNTIF(N9:O9,F21)+COUNTIF(N9:O9,"*,"&amp;F21&amp;",*")+COUNTIF(B11:C11,F21)+COUNTIF(B11:C11,"*,"&amp;F21&amp;",*")+COUNTIF(E11:F11,F21)+COUNTIF(E11:F11,"*,"&amp;F21&amp;",*")+COUNTIF(H11:I11,F21)+COUNTIF(H11:I11,"*,"&amp;F21&amp;",*")+COUNTIF(K11:L11,F21)+COUNTIF(K11:L11,"*,"&amp;F21&amp;",*")+COUNTIF(N11:O11,F21)+COUNTIF(N11:O11,"*,"&amp;F21&amp;",*")+COUNTIF(B13:C13,F21)+COUNTIF(B13:C13,"*,"&amp;F21&amp;",*")+COUNTIF(E13:F13,F21)+COUNTIF(E13:F13,"*,"&amp;F21&amp;",*")+COUNTIF(H13:I13,F21)+COUNTIF(H13:I13,"*,"&amp;F21&amp;",*")+COUNTIF(K13:L13,F21)+COUNTIF(K13:L13,"*,"&amp;F21&amp;",*")+COUNTIF(N13:O13,F21)+COUNTIF(N13:O13,"*,"&amp;F21&amp;",*")+COUNTIF(B15:C15,F21)+COUNTIF(B15:C15,"*,"&amp;F21&amp;",*")+COUNTIF(E15:F15,F21)+COUNTIF(E15:F15,"*,"&amp;F21&amp;",*")+COUNTIF(H15:I15,F21)+COUNTIF(H15:I15,"*,"&amp;F21&amp;",*")+COUNTIF(K15:L15,F21)+COUNTIF(K15:L15,"*,"&amp;F21&amp;",*")+COUNTIF(N15:O15,F21)+COUNTIF(N15:O15,"*,"&amp;F21&amp;",*")+COUNTIF(B17:C17,F21)+COUNTIF(B17:C17,"*,"&amp;F21&amp;",*")+COUNTIF(E17:F17,F21)+COUNTIF(E17:F17,"*,"&amp;F21&amp;",*")+COUNTIF(H17:I17,F21)+COUNTIF(H17:I17,"*,"&amp;F21&amp;",*")+COUNTIF(K17:L17,F21)+COUNTIF(K17:L17,"*,"&amp;F21&amp;",*")+COUNTIF(N17:O17,F21)+COUNTIF(N17:O17,"*,"&amp;F21&amp;",*")))</f>
        <v/>
      </c>
      <c r="G24" s="21">
        <f>IF(G21="","",IF(COUNTIF(B5:C5,G21)+COUNTIF(B5:C5,"*,"&amp;G21&amp;",*")+COUNTIF(E5:F5,G21)+COUNTIF(E5:F5,"*,"&amp;G21&amp;",*")+COUNTIF(H5:I5,G21)+COUNTIF(H5:I5,"*,"&amp;G21&amp;",*")+COUNTIF(K5:L5,G21)+COUNTIF(K5:L5,"*,"&amp;G21&amp;",*")+COUNTIF(N5:O5,G21)+COUNTIF(N5:O5,"*,"&amp;G21&amp;",*")+COUNTIF(B7:C7,G21)+COUNTIF(B7:C7,"*,"&amp;G21&amp;",*")+COUNTIF(E7:F7,G21)+COUNTIF(E7:F7,"*,"&amp;G21&amp;",*")+COUNTIF(H7:I7,G21)+COUNTIF(H7:I7,"*,"&amp;G21&amp;",*")+COUNTIF(K7:L7,G21)+COUNTIF(K7:L7,"*,"&amp;G21&amp;",*")+COUNTIF(N7:O7,G21)+COUNTIF(N7:O7,"*,"&amp;G21&amp;",*")+COUNTIF(B9:C9,G21)+COUNTIF(B9:C9,"*,"&amp;G21&amp;",*")+COUNTIF(E9:F9,G21)+COUNTIF(E9:F9,"*,"&amp;G21&amp;",*")+COUNTIF(H9:I9,G21)+COUNTIF(H9:I9,"*,"&amp;G21&amp;",*")+COUNTIF(K9:L9,G21)+COUNTIF(K9:L9,"*,"&amp;G21&amp;",*")+COUNTIF(N9:O9,G21)+COUNTIF(N9:O9,"*,"&amp;G21&amp;",*")+COUNTIF(B11:C11,G21)+COUNTIF(B11:C11,"*,"&amp;G21&amp;",*")+COUNTIF(E11:F11,G21)+COUNTIF(E11:F11,"*,"&amp;G21&amp;",*")+COUNTIF(H11:I11,G21)+COUNTIF(H11:I11,"*,"&amp;G21&amp;",*")+COUNTIF(K11:L11,G21)+COUNTIF(K11:L11,"*,"&amp;G21&amp;",*")+COUNTIF(N11:O11,G21)+COUNTIF(N11:O11,"*,"&amp;G21&amp;",*")+COUNTIF(B13:C13,G21)+COUNTIF(B13:C13,"*,"&amp;G21&amp;",*")+COUNTIF(E13:F13,G21)+COUNTIF(E13:F13,"*,"&amp;G21&amp;",*")+COUNTIF(H13:I13,G21)+COUNTIF(H13:I13,"*,"&amp;G21&amp;",*")+COUNTIF(K13:L13,G21)+COUNTIF(K13:L13,"*,"&amp;G21&amp;",*")+COUNTIF(N13:O13,G21)+COUNTIF(N13:O13,"*,"&amp;G21&amp;",*")+COUNTIF(B15:C15,G21)+COUNTIF(B15:C15,"*,"&amp;G21&amp;",*")+COUNTIF(E15:F15,G21)+COUNTIF(E15:F15,"*,"&amp;G21&amp;",*")+COUNTIF(H15:I15,G21)+COUNTIF(H15:I15,"*,"&amp;G21&amp;",*")+COUNTIF(K15:L15,G21)+COUNTIF(K15:L15,"*,"&amp;G21&amp;",*")+COUNTIF(N15:O15,G21)+COUNTIF(N15:O15,"*,"&amp;G21&amp;",*")+COUNTIF(B17:C17,G21)+COUNTIF(B17:C17,"*,"&amp;G21&amp;",*")+COUNTIF(E17:F17,G21)+COUNTIF(E17:F17,"*,"&amp;G21&amp;",*")+COUNTIF(H17:I17,G21)+COUNTIF(H17:I17,"*,"&amp;G21&amp;",*")+COUNTIF(K17:L17,G21)+COUNTIF(K17:L17,"*,"&amp;G21&amp;",*")+COUNTIF(N17:O17,G21)+COUNTIF(N17:O17,"*,"&amp;G21&amp;",*")=0,"",COUNTIF(B5:C5,G21)+COUNTIF(B5:C5,"*,"&amp;G21&amp;",*")+COUNTIF(E5:F5,G21)+COUNTIF(E5:F5,"*,"&amp;G21&amp;",*")+COUNTIF(H5:I5,G21)+COUNTIF(H5:I5,"*,"&amp;G21&amp;",*")+COUNTIF(K5:L5,G21)+COUNTIF(K5:L5,"*,"&amp;G21&amp;",*")+COUNTIF(N5:O5,G21)+COUNTIF(N5:O5,"*,"&amp;G21&amp;",*")+COUNTIF(B7:C7,G21)+COUNTIF(B7:C7,"*,"&amp;G21&amp;",*")+COUNTIF(E7:F7,G21)+COUNTIF(E7:F7,"*,"&amp;G21&amp;",*")+COUNTIF(H7:I7,G21)+COUNTIF(H7:I7,"*,"&amp;G21&amp;",*")+COUNTIF(K7:L7,G21)+COUNTIF(K7:L7,"*,"&amp;G21&amp;",*")+COUNTIF(N7:O7,G21)+COUNTIF(N7:O7,"*,"&amp;G21&amp;",*")+COUNTIF(B9:C9,G21)+COUNTIF(B9:C9,"*,"&amp;G21&amp;",*")+COUNTIF(E9:F9,G21)+COUNTIF(E9:F9,"*,"&amp;G21&amp;",*")+COUNTIF(H9:I9,G21)+COUNTIF(H9:I9,"*,"&amp;G21&amp;",*")+COUNTIF(K9:L9,G21)+COUNTIF(K9:L9,"*,"&amp;G21&amp;",*")+COUNTIF(N9:O9,G21)+COUNTIF(N9:O9,"*,"&amp;G21&amp;",*")+COUNTIF(B11:C11,G21)+COUNTIF(B11:C11,"*,"&amp;G21&amp;",*")+COUNTIF(E11:F11,G21)+COUNTIF(E11:F11,"*,"&amp;G21&amp;",*")+COUNTIF(H11:I11,G21)+COUNTIF(H11:I11,"*,"&amp;G21&amp;",*")+COUNTIF(K11:L11,G21)+COUNTIF(K11:L11,"*,"&amp;G21&amp;",*")+COUNTIF(N11:O11,G21)+COUNTIF(N11:O11,"*,"&amp;G21&amp;",*")+COUNTIF(B13:C13,G21)+COUNTIF(B13:C13,"*,"&amp;G21&amp;",*")+COUNTIF(E13:F13,G21)+COUNTIF(E13:F13,"*,"&amp;G21&amp;",*")+COUNTIF(H13:I13,G21)+COUNTIF(H13:I13,"*,"&amp;G21&amp;",*")+COUNTIF(K13:L13,G21)+COUNTIF(K13:L13,"*,"&amp;G21&amp;",*")+COUNTIF(N13:O13,G21)+COUNTIF(N13:O13,"*,"&amp;G21&amp;",*")+COUNTIF(B15:C15,G21)+COUNTIF(B15:C15,"*,"&amp;G21&amp;",*")+COUNTIF(E15:F15,G21)+COUNTIF(E15:F15,"*,"&amp;G21&amp;",*")+COUNTIF(H15:I15,G21)+COUNTIF(H15:I15,"*,"&amp;G21&amp;",*")+COUNTIF(K15:L15,G21)+COUNTIF(K15:L15,"*,"&amp;G21&amp;",*")+COUNTIF(N15:O15,G21)+COUNTIF(N15:O15,"*,"&amp;G21&amp;",*")+COUNTIF(B17:C17,G21)+COUNTIF(B17:C17,"*,"&amp;G21&amp;",*")+COUNTIF(E17:F17,G21)+COUNTIF(E17:F17,"*,"&amp;G21&amp;",*")+COUNTIF(H17:I17,G21)+COUNTIF(H17:I17,"*,"&amp;G21&amp;",*")+COUNTIF(K17:L17,G21)+COUNTIF(K17:L17,"*,"&amp;G21&amp;",*")+COUNTIF(N17:O17,G21)+COUNTIF(N17:O17,"*,"&amp;G21&amp;",*")))</f>
        <v/>
      </c>
      <c r="H24" s="21"/>
      <c r="I24" s="21"/>
      <c r="J24" s="21"/>
      <c r="K24" s="21"/>
      <c r="L24" s="21"/>
      <c r="M24" s="21">
        <f>IF(COUNTIF(B5:C5,"特活")+COUNTIF(B5:C5,"学活")+COUNTIF(E5:F5,"特活")+COUNTIF(E5:F5,"学活")+COUNTIF(H5:I5,"特活")+COUNTIF(H5:I5,"学活")+COUNTIF(K5:L5,"特活")+COUNTIF(K5:L5,"学活")+COUNTIF(N5:O5,"特活")+COUNTIF(N5:O5,"学活")+COUNTIF(B7:C7,"特活")+COUNTIF(B7:C7,"学活")+COUNTIF(E7:F7,"特活")+COUNTIF(E7:F7,"学活")+COUNTIF(H7:I7,"特活")+COUNTIF(H7:I7,"学活")+COUNTIF(K7:L7,"特活")+COUNTIF(K7:L7,"学活")+COUNTIF(N7:O7,"特活")+COUNTIF(N7:O7,"学活")+COUNTIF(B9:C9,"特活")+COUNTIF(B9:C9,"学活")+COUNTIF(E9:F9,"特活")+COUNTIF(E9:F9,"学活")+COUNTIF(H9:I9,"特活")+COUNTIF(H9:I9,"学活")+COUNTIF(K9:L9,"特活")+COUNTIF(K9:L9,"学活")+COUNTIF(N9:O9,"特活")+COUNTIF(N9:O9,"学活")+COUNTIF(B11:C11,"特活")+COUNTIF(B11:C11,"学活")+COUNTIF(E11:F11,"特活")+COUNTIF(E11:F11,"学活")+COUNTIF(H11:I11,"特活")+COUNTIF(H11:I11,"学活")+COUNTIF(K11:L11,"特活")+COUNTIF(K11:L11,"学活")+COUNTIF(N11:O11,"特活")+COUNTIF(N11:O11,"学活")+COUNTIF(B13:C13,"特活")+COUNTIF(B13:C13,"学活")+COUNTIF(E13:F13,"特活")+COUNTIF(E13:F13,"学活")+COUNTIF(H13:I13,"特活")+COUNTIF(H13:I13,"学活")+COUNTIF(K13:L13,"特活")+COUNTIF(K13:L13,"学活")+COUNTIF(N13:O13,"特活")+COUNTIF(N13:O13,"学活")+COUNTIF(B15:C15,"特活")+COUNTIF(B15:C15,"学活")+COUNTIF(E15:F15,"特活")+COUNTIF(E15:F15,"学活")+COUNTIF(H15:I15,"特活")+COUNTIF(H15:I15,"学活")+COUNTIF(K15:L15,"特活")+COUNTIF(K15:L15,"学活")+COUNTIF(N15:O15,"特活")+COUNTIF(N15:O15,"学活")+COUNTIF(B17:C17,"特活")+COUNTIF(B17:C17,"学活")+COUNTIF(E17:F17,"特活")+COUNTIF(E17:F17,"学活")+COUNTIF(H17:I17,"特活")+COUNTIF(H17:I17,"学活")+COUNTIF(K17:L17,"特活")+COUNTIF(K17:L17,"学活")+COUNTIF(N17:O17,"特活")+COUNTIF(N17:O17,"学活")=0,"",COUNTIF(B5:C5,"特活")+COUNTIF(B5:C5,"学活")+COUNTIF(E5:F5,"特活")+COUNTIF(E5:F5,"学活")+COUNTIF(H5:I5,"特活")+COUNTIF(H5:I5,"学活")+COUNTIF(K5:L5,"特活")+COUNTIF(K5:L5,"学活")+COUNTIF(N5:O5,"特活")+COUNTIF(N5:O5,"学活")+COUNTIF(B7:C7,"特活")+COUNTIF(B7:C7,"学活")+COUNTIF(E7:F7,"特活")+COUNTIF(E7:F7,"学活")+COUNTIF(H7:I7,"特活")+COUNTIF(H7:I7,"学活")+COUNTIF(K7:L7,"特活")+COUNTIF(K7:L7,"学活")+COUNTIF(N7:O7,"特活")+COUNTIF(N7:O7,"学活")+COUNTIF(B9:C9,"特活")+COUNTIF(B9:C9,"学活")+COUNTIF(E9:F9,"特活")+COUNTIF(E9:F9,"学活")+COUNTIF(H9:I9,"特活")+COUNTIF(H9:I9,"学活")+COUNTIF(K9:L9,"特活")+COUNTIF(K9:L9,"学活")+COUNTIF(N9:O9,"特活")+COUNTIF(N9:O9,"学活")+COUNTIF(B11:C11,"特活")+COUNTIF(B11:C11,"学活")+COUNTIF(E11:F11,"特活")+COUNTIF(E11:F11,"学活")+COUNTIF(H11:I11,"特活")+COUNTIF(H11:I11,"学活")+COUNTIF(K11:L11,"特活")+COUNTIF(K11:L11,"学活")+COUNTIF(N11:O11,"特活")+COUNTIF(N11:O11,"学活")+COUNTIF(B13:C13,"特活")+COUNTIF(B13:C13,"学活")+COUNTIF(E13:F13,"特活")+COUNTIF(E13:F13,"学活")+COUNTIF(H13:I13,"特活")+COUNTIF(H13:I13,"学活")+COUNTIF(K13:L13,"特活")+COUNTIF(K13:L13,"学活")+COUNTIF(N13:O13,"特活")+COUNTIF(N13:O13,"学活")+COUNTIF(B15:C15,"特活")+COUNTIF(B15:C15,"学活")+COUNTIF(E15:F15,"特活")+COUNTIF(E15:F15,"学活")+COUNTIF(H15:I15,"特活")+COUNTIF(H15:I15,"学活")+COUNTIF(K15:L15,"特活")+COUNTIF(K15:L15,"学活")+COUNTIF(N15:O15,"特活")+COUNTIF(N15:O15,"学活")+COUNTIF(B17:C17,"特活")+COUNTIF(B17:C17,"学活")+COUNTIF(E17:F17,"特活")+COUNTIF(E17:F17,"学活")+COUNTIF(H17:I17,"特活")+COUNTIF(H17:I17,"学活")+COUNTIF(K17:L17,"特活")+COUNTIF(K17:L17,"学活")+COUNTIF(N17:O17,"特活")+COUNTIF(N17:O17,"学活"))</f>
        <v/>
      </c>
      <c r="N24" s="21">
        <f>IF(COUNTIF(B5:C5,N21)+COUNTIF(B5:C5,"*,"&amp;N21&amp;",*")+COUNTIF(E5:F5,N21)+COUNTIF(E5:F5,"*,"&amp;N21&amp;",*")+COUNTIF(H5:I5,N21)+COUNTIF(H5:I5,"*,"&amp;N21&amp;",*")+COUNTIF(K5:L5,N21)+COUNTIF(K5:L5,"*,"&amp;N21&amp;",*")+COUNTIF(N5:O5,N21)+COUNTIF(N5:O5,"*,"&amp;N21&amp;",*")+COUNTIF(B7:C7,N21)+COUNTIF(B7:C7,"*,"&amp;N21&amp;",*")+COUNTIF(E7:F7,N21)+COUNTIF(E7:F7,"*,"&amp;N21&amp;",*")+COUNTIF(H7:I7,N21)+COUNTIF(H7:I7,"*,"&amp;N21&amp;",*")+COUNTIF(K7:L7,N21)+COUNTIF(K7:L7,"*,"&amp;N21&amp;",*")+COUNTIF(N7:O7,N21)+COUNTIF(N7:O7,"*,"&amp;N21&amp;",*")+COUNTIF(B9:C9,N21)+COUNTIF(B9:C9,"*,"&amp;N21&amp;",*")+COUNTIF(E9:F9,N21)+COUNTIF(E9:F9,"*,"&amp;N21&amp;",*")+COUNTIF(H9:I9,N21)+COUNTIF(H9:I9,"*,"&amp;N21&amp;",*")+COUNTIF(K9:L9,N21)+COUNTIF(K9:L9,"*,"&amp;N21&amp;",*")+COUNTIF(N9:O9,N21)+COUNTIF(N9:O9,"*,"&amp;N21&amp;",*")+COUNTIF(B11:C11,N21)+COUNTIF(B11:C11,"*,"&amp;N21&amp;",*")+COUNTIF(E11:F11,N21)+COUNTIF(E11:F11,"*,"&amp;N21&amp;",*")+COUNTIF(H11:I11,N21)+COUNTIF(H11:I11,"*,"&amp;N21&amp;",*")+COUNTIF(K11:L11,N21)+COUNTIF(K11:L11,"*,"&amp;N21&amp;",*")+COUNTIF(N11:O11,N21)+COUNTIF(N11:O11,"*,"&amp;N21&amp;",*")+COUNTIF(B13:C13,N21)+COUNTIF(B13:C13,"*,"&amp;N21&amp;",*")+COUNTIF(E13:F13,N21)+COUNTIF(E13:F13,"*,"&amp;N21&amp;",*")+COUNTIF(H13:I13,N21)+COUNTIF(H13:I13,"*,"&amp;N21&amp;",*")+COUNTIF(K13:L13,N21)+COUNTIF(K13:L13,"*,"&amp;N21&amp;",*")+COUNTIF(N13:O13,N21)+COUNTIF(N13:O13,"*,"&amp;N21&amp;",*")+COUNTIF(B15:C15,N21)+COUNTIF(B15:C15,"*,"&amp;N21&amp;",*")+COUNTIF(E15:F15,N21)+COUNTIF(E15:F15,"*,"&amp;N21&amp;",*")+COUNTIF(H15:I15,N21)+COUNTIF(H15:I15,"*,"&amp;N21&amp;",*")+COUNTIF(K15:L15,N21)+COUNTIF(K15:L15,"*,"&amp;N21&amp;",*")+COUNTIF(N15:O15,N21)+COUNTIF(N15:O15,"*,"&amp;N21&amp;",*")+COUNTIF(B17:C17,N21)+COUNTIF(B17:C17,"*,"&amp;N21&amp;",*")+COUNTIF(E17:F17,N21)+COUNTIF(E17:F17,"*,"&amp;N21&amp;",*")+COUNTIF(H17:I17,N21)+COUNTIF(H17:I17,"*,"&amp;N21&amp;",*")+COUNTIF(K17:L17,N21)+COUNTIF(K17:L17,"*,"&amp;N21&amp;",*")+COUNTIF(N17:O17,N21)+COUNTIF(N17:O17,"*,"&amp;N21&amp;",*")=0,"",COUNTIF(B5:C5,N21)+COUNTIF(B5:C5,"*,"&amp;N21&amp;",*")+COUNTIF(E5:F5,N21)+COUNTIF(E5:F5,"*,"&amp;N21&amp;",*")+COUNTIF(H5:I5,N21)+COUNTIF(H5:I5,"*,"&amp;N21&amp;",*")+COUNTIF(K5:L5,N21)+COUNTIF(K5:L5,"*,"&amp;N21&amp;",*")+COUNTIF(N5:O5,N21)+COUNTIF(N5:O5,"*,"&amp;N21&amp;",*")+COUNTIF(B7:C7,N21)+COUNTIF(B7:C7,"*,"&amp;N21&amp;",*")+COUNTIF(E7:F7,N21)+COUNTIF(E7:F7,"*,"&amp;N21&amp;",*")+COUNTIF(H7:I7,N21)+COUNTIF(H7:I7,"*,"&amp;N21&amp;",*")+COUNTIF(K7:L7,N21)+COUNTIF(K7:L7,"*,"&amp;N21&amp;",*")+COUNTIF(N7:O7,N21)+COUNTIF(N7:O7,"*,"&amp;N21&amp;",*")+COUNTIF(B9:C9,N21)+COUNTIF(B9:C9,"*,"&amp;N21&amp;",*")+COUNTIF(E9:F9,N21)+COUNTIF(E9:F9,"*,"&amp;N21&amp;",*")+COUNTIF(H9:I9,N21)+COUNTIF(H9:I9,"*,"&amp;N21&amp;",*")+COUNTIF(K9:L9,N21)+COUNTIF(K9:L9,"*,"&amp;N21&amp;",*")+COUNTIF(N9:O9,N21)+COUNTIF(N9:O9,"*,"&amp;N21&amp;",*")+COUNTIF(B11:C11,N21)+COUNTIF(B11:C11,"*,"&amp;N21&amp;",*")+COUNTIF(E11:F11,N21)+COUNTIF(E11:F11,"*,"&amp;N21&amp;",*")+COUNTIF(H11:I11,N21)+COUNTIF(H11:I11,"*,"&amp;N21&amp;",*")+COUNTIF(K11:L11,N21)+COUNTIF(K11:L11,"*,"&amp;N21&amp;",*")+COUNTIF(N11:O11,N21)+COUNTIF(N11:O11,"*,"&amp;N21&amp;",*")+COUNTIF(B13:C13,N21)+COUNTIF(B13:C13,"*,"&amp;N21&amp;",*")+COUNTIF(E13:F13,N21)+COUNTIF(E13:F13,"*,"&amp;N21&amp;",*")+COUNTIF(H13:I13,N21)+COUNTIF(H13:I13,"*,"&amp;N21&amp;",*")+COUNTIF(K13:L13,N21)+COUNTIF(K13:L13,"*,"&amp;N21&amp;",*")+COUNTIF(N13:O13,N21)+COUNTIF(N13:O13,"*,"&amp;N21&amp;",*")+COUNTIF(B15:C15,N21)+COUNTIF(B15:C15,"*,"&amp;N21&amp;",*")+COUNTIF(E15:F15,N21)+COUNTIF(E15:F15,"*,"&amp;N21&amp;",*")+COUNTIF(H15:I15,N21)+COUNTIF(H15:I15,"*,"&amp;N21&amp;",*")+COUNTIF(K15:L15,N21)+COUNTIF(K15:L15,"*,"&amp;N21&amp;",*")+COUNTIF(N15:O15,N21)+COUNTIF(N15:O15,"*,"&amp;N21&amp;",*")+COUNTIF(B17:C17,N21)+COUNTIF(B17:C17,"*,"&amp;N21&amp;",*")+COUNTIF(E17:F17,N21)+COUNTIF(E17:F17,"*,"&amp;N21&amp;",*")+COUNTIF(H17:I17,N21)+COUNTIF(H17:I17,"*,"&amp;N21&amp;",*")+COUNTIF(K17:L17,N21)+COUNTIF(K17:L17,"*,"&amp;N21&amp;",*")+COUNTIF(N17:O17,N21)+COUNTIF(N17:O17,"*,"&amp;N21&amp;",*"))</f>
        <v/>
      </c>
      <c r="O24" s="21">
        <f>IF(COUNTIF(B5:C5,O21)+COUNTIF(B5:C5,"*,"&amp;O21&amp;",*")+COUNTIF(E5:F5,O21)+COUNTIF(E5:F5,"*,"&amp;O21&amp;",*")+COUNTIF(H5:I5,O21)+COUNTIF(H5:I5,"*,"&amp;O21&amp;",*")+COUNTIF(K5:L5,O21)+COUNTIF(K5:L5,"*,"&amp;O21&amp;",*")+COUNTIF(N5:O5,O21)+COUNTIF(N5:O5,"*,"&amp;O21&amp;",*")+COUNTIF(B7:C7,O21)+COUNTIF(B7:C7,"*,"&amp;O21&amp;",*")+COUNTIF(E7:F7,O21)+COUNTIF(E7:F7,"*,"&amp;O21&amp;",*")+COUNTIF(H7:I7,O21)+COUNTIF(H7:I7,"*,"&amp;O21&amp;",*")+COUNTIF(K7:L7,O21)+COUNTIF(K7:L7,"*,"&amp;O21&amp;",*")+COUNTIF(N7:O7,O21)+COUNTIF(N7:O7,"*,"&amp;O21&amp;",*")+COUNTIF(B9:C9,O21)+COUNTIF(B9:C9,"*,"&amp;O21&amp;",*")+COUNTIF(E9:F9,O21)+COUNTIF(E9:F9,"*,"&amp;O21&amp;",*")+COUNTIF(H9:I9,O21)+COUNTIF(H9:I9,"*,"&amp;O21&amp;",*")+COUNTIF(K9:L9,O21)+COUNTIF(K9:L9,"*,"&amp;O21&amp;",*")+COUNTIF(N9:O9,O21)+COUNTIF(N9:O9,"*,"&amp;O21&amp;",*")+COUNTIF(B11:C11,O21)+COUNTIF(B11:C11,"*,"&amp;O21&amp;",*")+COUNTIF(E11:F11,O21)+COUNTIF(E11:F11,"*,"&amp;O21&amp;",*")+COUNTIF(H11:I11,O21)+COUNTIF(H11:I11,"*,"&amp;O21&amp;",*")+COUNTIF(K11:L11,O21)+COUNTIF(K11:L11,"*,"&amp;O21&amp;",*")+COUNTIF(N11:O11,O21)+COUNTIF(N11:O11,"*,"&amp;O21&amp;",*")+COUNTIF(B13:C13,O21)+COUNTIF(B13:C13,"*,"&amp;O21&amp;",*")+COUNTIF(E13:F13,O21)+COUNTIF(E13:F13,"*,"&amp;O21&amp;",*")+COUNTIF(H13:I13,O21)+COUNTIF(H13:I13,"*,"&amp;O21&amp;",*")+COUNTIF(K13:L13,O21)+COUNTIF(K13:L13,"*,"&amp;O21&amp;",*")+COUNTIF(N13:O13,O21)+COUNTIF(N13:O13,"*,"&amp;O21&amp;",*")+COUNTIF(B15:C15,O21)+COUNTIF(B15:C15,"*,"&amp;O21&amp;",*")+COUNTIF(E15:F15,O21)+COUNTIF(E15:F15,"*,"&amp;O21&amp;",*")+COUNTIF(H15:I15,O21)+COUNTIF(H15:I15,"*,"&amp;O21&amp;",*")+COUNTIF(K15:L15,O21)+COUNTIF(K15:L15,"*,"&amp;O21&amp;",*")+COUNTIF(N15:O15,O21)+COUNTIF(N15:O15,"*,"&amp;O21&amp;",*")+COUNTIF(B17:C17,O21)+COUNTIF(B17:C17,"*,"&amp;O21&amp;",*")+COUNTIF(E17:F17,O21)+COUNTIF(E17:F17,"*,"&amp;O21&amp;",*")+COUNTIF(H17:I17,O21)+COUNTIF(H17:I17,"*,"&amp;O21&amp;",*")+COUNTIF(K17:L17,O21)+COUNTIF(K17:L17,"*,"&amp;O21&amp;",*")+COUNTIF(N17:O17,O21)+COUNTIF(N17:O17,"*,"&amp;O21&amp;",*")=0,"",COUNTIF(B5:C5,O21)+COUNTIF(B5:C5,"*,"&amp;O21&amp;",*")+COUNTIF(E5:F5,O21)+COUNTIF(E5:F5,"*,"&amp;O21&amp;",*")+COUNTIF(H5:I5,O21)+COUNTIF(H5:I5,"*,"&amp;O21&amp;",*")+COUNTIF(K5:L5,O21)+COUNTIF(K5:L5,"*,"&amp;O21&amp;",*")+COUNTIF(N5:O5,O21)+COUNTIF(N5:O5,"*,"&amp;O21&amp;",*")+COUNTIF(B7:C7,O21)+COUNTIF(B7:C7,"*,"&amp;O21&amp;",*")+COUNTIF(E7:F7,O21)+COUNTIF(E7:F7,"*,"&amp;O21&amp;",*")+COUNTIF(H7:I7,O21)+COUNTIF(H7:I7,"*,"&amp;O21&amp;",*")+COUNTIF(K7:L7,O21)+COUNTIF(K7:L7,"*,"&amp;O21&amp;",*")+COUNTIF(N7:O7,O21)+COUNTIF(N7:O7,"*,"&amp;O21&amp;",*")+COUNTIF(B9:C9,O21)+COUNTIF(B9:C9,"*,"&amp;O21&amp;",*")+COUNTIF(E9:F9,O21)+COUNTIF(E9:F9,"*,"&amp;O21&amp;",*")+COUNTIF(H9:I9,O21)+COUNTIF(H9:I9,"*,"&amp;O21&amp;",*")+COUNTIF(K9:L9,O21)+COUNTIF(K9:L9,"*,"&amp;O21&amp;",*")+COUNTIF(N9:O9,O21)+COUNTIF(N9:O9,"*,"&amp;O21&amp;",*")+COUNTIF(B11:C11,O21)+COUNTIF(B11:C11,"*,"&amp;O21&amp;",*")+COUNTIF(E11:F11,O21)+COUNTIF(E11:F11,"*,"&amp;O21&amp;",*")+COUNTIF(H11:I11,O21)+COUNTIF(H11:I11,"*,"&amp;O21&amp;",*")+COUNTIF(K11:L11,O21)+COUNTIF(K11:L11,"*,"&amp;O21&amp;",*")+COUNTIF(N11:O11,O21)+COUNTIF(N11:O11,"*,"&amp;O21&amp;",*")+COUNTIF(B13:C13,O21)+COUNTIF(B13:C13,"*,"&amp;O21&amp;",*")+COUNTIF(E13:F13,O21)+COUNTIF(E13:F13,"*,"&amp;O21&amp;",*")+COUNTIF(H13:I13,O21)+COUNTIF(H13:I13,"*,"&amp;O21&amp;",*")+COUNTIF(K13:L13,O21)+COUNTIF(K13:L13,"*,"&amp;O21&amp;",*")+COUNTIF(N13:O13,O21)+COUNTIF(N13:O13,"*,"&amp;O21&amp;",*")+COUNTIF(B15:C15,O21)+COUNTIF(B15:C15,"*,"&amp;O21&amp;",*")+COUNTIF(E15:F15,O21)+COUNTIF(E15:F15,"*,"&amp;O21&amp;",*")+COUNTIF(H15:I15,O21)+COUNTIF(H15:I15,"*,"&amp;O21&amp;",*")+COUNTIF(K15:L15,O21)+COUNTIF(K15:L15,"*,"&amp;O21&amp;",*")+COUNTIF(N15:O15,O21)+COUNTIF(N15:O15,"*,"&amp;O21&amp;",*")+COUNTIF(B17:C17,O21)+COUNTIF(B17:C17,"*,"&amp;O21&amp;",*")+COUNTIF(E17:F17,O21)+COUNTIF(E17:F17,"*,"&amp;O21&amp;",*")+COUNTIF(H17:I17,O21)+COUNTIF(H17:I17,"*,"&amp;O21&amp;",*")+COUNTIF(K17:L17,O21)+COUNTIF(K17:L17,"*,"&amp;O21&amp;",*")+COUNTIF(N17:O17,O21)+COUNTIF(N17:O17,"*,"&amp;O21&amp;",*"))</f>
        <v/>
      </c>
      <c r="P24" s="22">
        <f>IF(SUM(B24:O24)=0,"",SUM(B24:O24))</f>
        <v/>
      </c>
    </row>
    <row r="25" spans="1:16" ht="13.5" customHeight="1" x14ac:dyDescent="0.2">
      <c r="A25" s="23" t="s">
        <v>52</v>
      </c>
      <c r="B25" s="26"/>
      <c r="C25" s="26"/>
      <c r="D25" s="26"/>
      <c r="E25" s="26"/>
      <c r="F25" s="26"/>
      <c r="G25" s="26"/>
      <c r="H25" s="26"/>
      <c r="I25" s="26"/>
      <c r="J25" s="26"/>
      <c r="K25" s="26"/>
      <c r="L25" s="26"/>
      <c r="M25" s="26"/>
      <c r="N25" s="26"/>
      <c r="O25" s="24"/>
      <c r="P25" s="18">
        <f>IF(SUM(B25:O25)=0,"",SUM(B25:O25))</f>
        <v/>
      </c>
    </row>
  </sheetData>
  <sheetProtection sheet="1" objects="1" scenarios="1"/>
  <mergeCells count="104">
    <mergeCell ref="N19:P19"/>
    <mergeCell ref="A23:A24"/>
    <mergeCell ref="N17:O17"/>
    <mergeCell ref="B18:D18"/>
    <mergeCell ref="E18:G18"/>
    <mergeCell ref="H18:J18"/>
    <mergeCell ref="K18:M18"/>
    <mergeCell ref="N18:P18"/>
    <mergeCell ref="A17:A18"/>
    <mergeCell ref="B17:C17"/>
    <mergeCell ref="E17:F17"/>
    <mergeCell ref="H17:I17"/>
    <mergeCell ref="K17:L17"/>
    <mergeCell ref="B19:D19"/>
    <mergeCell ref="E19:G19"/>
    <mergeCell ref="H19:J19"/>
    <mergeCell ref="K19:M19"/>
    <mergeCell ref="A15:A16"/>
    <mergeCell ref="B15:C15"/>
    <mergeCell ref="E15:F15"/>
    <mergeCell ref="H15:I15"/>
    <mergeCell ref="K15:L15"/>
    <mergeCell ref="N15:O15"/>
    <mergeCell ref="B16:D16"/>
    <mergeCell ref="E16:G16"/>
    <mergeCell ref="H16:J16"/>
    <mergeCell ref="K16:M16"/>
    <mergeCell ref="N16:P16"/>
    <mergeCell ref="A13:A14"/>
    <mergeCell ref="B13:C13"/>
    <mergeCell ref="E13:F13"/>
    <mergeCell ref="H13:I13"/>
    <mergeCell ref="K13:L13"/>
    <mergeCell ref="N13:O13"/>
    <mergeCell ref="B14:D14"/>
    <mergeCell ref="E14:G14"/>
    <mergeCell ref="H14:J14"/>
    <mergeCell ref="K14:M14"/>
    <mergeCell ref="N14:P14"/>
    <mergeCell ref="A11:A12"/>
    <mergeCell ref="B11:C11"/>
    <mergeCell ref="E11:F11"/>
    <mergeCell ref="H11:I11"/>
    <mergeCell ref="K11:L11"/>
    <mergeCell ref="N11:O11"/>
    <mergeCell ref="B12:D12"/>
    <mergeCell ref="E12:G12"/>
    <mergeCell ref="H12:J12"/>
    <mergeCell ref="K12:M12"/>
    <mergeCell ref="N12:P12"/>
    <mergeCell ref="N8:P8"/>
    <mergeCell ref="A9:A10"/>
    <mergeCell ref="B9:C9"/>
    <mergeCell ref="E9:F9"/>
    <mergeCell ref="H9:I9"/>
    <mergeCell ref="K9:L9"/>
    <mergeCell ref="N9:O9"/>
    <mergeCell ref="B10:D10"/>
    <mergeCell ref="E10:G10"/>
    <mergeCell ref="H10:J10"/>
    <mergeCell ref="A7:A8"/>
    <mergeCell ref="B7:C7"/>
    <mergeCell ref="E7:F7"/>
    <mergeCell ref="H7:I7"/>
    <mergeCell ref="K7:L7"/>
    <mergeCell ref="N7:O7"/>
    <mergeCell ref="B8:D8"/>
    <mergeCell ref="E8:G8"/>
    <mergeCell ref="H8:J8"/>
    <mergeCell ref="K8:M8"/>
    <mergeCell ref="K10:M10"/>
    <mergeCell ref="N10:P10"/>
    <mergeCell ref="A5:A6"/>
    <mergeCell ref="B5:C5"/>
    <mergeCell ref="E5:F5"/>
    <mergeCell ref="H5:I5"/>
    <mergeCell ref="K5:L5"/>
    <mergeCell ref="N2:P2"/>
    <mergeCell ref="B3:D3"/>
    <mergeCell ref="E3:G3"/>
    <mergeCell ref="H3:J3"/>
    <mergeCell ref="K3:M3"/>
    <mergeCell ref="N3:P3"/>
    <mergeCell ref="N5:O5"/>
    <mergeCell ref="B6:D6"/>
    <mergeCell ref="E6:G6"/>
    <mergeCell ref="H6:J6"/>
    <mergeCell ref="K6:M6"/>
    <mergeCell ref="N6:P6"/>
    <mergeCell ref="B4:D4"/>
    <mergeCell ref="E4:G4"/>
    <mergeCell ref="H4:J4"/>
    <mergeCell ref="K4:M4"/>
    <mergeCell ref="N4:P4"/>
    <mergeCell ref="A1:G1"/>
    <mergeCell ref="I1:J1"/>
    <mergeCell ref="K1:L1"/>
    <mergeCell ref="M1:N1"/>
    <mergeCell ref="O1:P1"/>
    <mergeCell ref="A2:A3"/>
    <mergeCell ref="B2:D2"/>
    <mergeCell ref="E2:G2"/>
    <mergeCell ref="H2:J2"/>
    <mergeCell ref="K2:M2"/>
  </mergeCells>
  <phoneticPr fontId="5"/>
  <dataValidations count="1">
    <dataValidation type="list" allowBlank="1" showInputMessage="1" sqref="D5 P17 M17 J17 G17 D17 P15 M15 J15 G15 D15 P13 M13 J13 G13 D13 P11 M11 J11 G11 D11 P9 M9 J9 G9 D9 P7 M7 J7 G7 D7 P5 M5 J5 G5" xr:uid="{0BF79507-5ED2-437F-920A-77436CF3E4F7}">
      <formula1>"×,月1,月2,月3,月4,月5,月6,月7,火1,火2,火3,火4,火5,火6,火7,水1,水2,水3,水4,水5,水6,水7,木1,木2,木3,木4,木5,木6,木7,金1,金2,金3,金4,金5,金6,金7"</formula1>
    </dataValidation>
  </dataValidations>
  <printOptions horizontalCentered="1"/>
  <pageMargins left="0.78740157480314965" right="0.78740157480314965" top="0.78740157480314965" bottom="0.78740157480314965" header="0" footer="0"/>
  <pageSetup paperSize="9" scale="95"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tn_0">
              <controlPr defaultSize="0" print="0" autoFill="0" autoPict="0" macro="[0]!ボタン_新しい週">
                <anchor moveWithCells="1" sizeWithCells="1">
                  <from>
                    <xdr:col>17</xdr:col>
                    <xdr:colOff>60960</xdr:colOff>
                    <xdr:row>3</xdr:row>
                    <xdr:rowOff>30480</xdr:rowOff>
                  </from>
                  <to>
                    <xdr:col>18</xdr:col>
                    <xdr:colOff>533400</xdr:colOff>
                    <xdr:row>3</xdr:row>
                    <xdr:rowOff>335280</xdr:rowOff>
                  </to>
                </anchor>
              </controlPr>
            </control>
          </mc:Choice>
        </mc:AlternateContent>
        <mc:AlternateContent xmlns:mc="http://schemas.openxmlformats.org/markup-compatibility/2006">
          <mc:Choice Requires="x14">
            <control shapeId="17410" r:id="rId5" name="Btn_1">
              <controlPr defaultSize="0" print="0" autoFill="0" autoPict="0" macro="[0]!ボタン_時間割展開">
                <anchor moveWithCells="1" sizeWithCells="1">
                  <from>
                    <xdr:col>17</xdr:col>
                    <xdr:colOff>60960</xdr:colOff>
                    <xdr:row>3</xdr:row>
                    <xdr:rowOff>441960</xdr:rowOff>
                  </from>
                  <to>
                    <xdr:col>18</xdr:col>
                    <xdr:colOff>533400</xdr:colOff>
                    <xdr:row>4</xdr:row>
                    <xdr:rowOff>45720</xdr:rowOff>
                  </to>
                </anchor>
              </controlPr>
            </control>
          </mc:Choice>
        </mc:AlternateContent>
        <mc:AlternateContent xmlns:mc="http://schemas.openxmlformats.org/markup-compatibility/2006">
          <mc:Choice Requires="x14">
            <control shapeId="17411" r:id="rId6" name="Btn_2">
              <controlPr defaultSize="0" print="0" autoFill="0" autoPict="0" macro="[0]!ボタン_累計更新">
                <anchor moveWithCells="1" sizeWithCells="1">
                  <from>
                    <xdr:col>17</xdr:col>
                    <xdr:colOff>60960</xdr:colOff>
                    <xdr:row>4</xdr:row>
                    <xdr:rowOff>144780</xdr:rowOff>
                  </from>
                  <to>
                    <xdr:col>18</xdr:col>
                    <xdr:colOff>533400</xdr:colOff>
                    <xdr:row>5</xdr:row>
                    <xdr:rowOff>220980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xr:uid="{D184E476-54E0-4B0E-9E6E-2D2490FD3CC8}">
          <x14:formula1>
            <xm:f>基本設定!$B$6:$B$20</xm:f>
          </x14:formula1>
          <xm:sqref>B5 N19 K19 H19 E19 B19 N17 K17 H17 E17 B17 N15 K15 H15 E15 B15 N13 K13 H13 E13 B13 N11 K11 H11 E11 B11 N9 K9 H9 E9 B9 N7 K7 H7 E7 B7 N5 K5 H5 E5</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9EDF0-1CEC-4538-A7CA-69CEE90D2746}">
  <sheetPr codeName="Sheet14">
    <tabColor rgb="FFC0392B"/>
    <pageSetUpPr fitToPage="1"/>
  </sheetPr>
  <dimension ref="A1:P25"/>
  <sheetViews>
    <sheetView workbookViewId="0">
      <selection activeCell="N11" sqref="N11:O11"/>
    </sheetView>
  </sheetViews>
  <sheetFormatPr defaultColWidth="8.77734375" defaultRowHeight="13.2" x14ac:dyDescent="0.2"/>
  <cols>
    <col min="1" max="1" width="5.44140625" customWidth="1"/>
    <col min="2" max="16" width="5.77734375" customWidth="1"/>
  </cols>
  <sheetData>
    <row r="1" spans="1:16" ht="50.1" customHeight="1" x14ac:dyDescent="0.2">
      <c r="A1" s="51" t="s">
        <v>34</v>
      </c>
      <c r="B1" s="52"/>
      <c r="C1" s="52"/>
      <c r="D1" s="52"/>
      <c r="E1" s="52"/>
      <c r="F1" s="52"/>
      <c r="G1" s="52"/>
      <c r="H1" s="8" t="s">
        <v>35</v>
      </c>
      <c r="I1" s="53" t="s">
        <v>36</v>
      </c>
      <c r="J1" s="54"/>
      <c r="K1" s="53" t="s">
        <v>37</v>
      </c>
      <c r="L1" s="54"/>
      <c r="M1" s="53" t="s">
        <v>38</v>
      </c>
      <c r="N1" s="54"/>
      <c r="O1" s="53" t="s">
        <v>39</v>
      </c>
      <c r="P1" s="54"/>
    </row>
    <row r="2" spans="1:16" ht="15.6" customHeight="1" x14ac:dyDescent="0.2">
      <c r="A2" s="55" t="s">
        <v>40</v>
      </c>
      <c r="B2" s="57" t="s">
        <v>29</v>
      </c>
      <c r="C2" s="57"/>
      <c r="D2" s="57"/>
      <c r="E2" s="59" t="s">
        <v>30</v>
      </c>
      <c r="F2" s="59"/>
      <c r="G2" s="59"/>
      <c r="H2" s="45" t="s">
        <v>31</v>
      </c>
      <c r="I2" s="45"/>
      <c r="J2" s="45"/>
      <c r="K2" s="47" t="s">
        <v>32</v>
      </c>
      <c r="L2" s="47"/>
      <c r="M2" s="47"/>
      <c r="N2" s="49" t="s">
        <v>33</v>
      </c>
      <c r="O2" s="49"/>
      <c r="P2" s="49"/>
    </row>
    <row r="3" spans="1:16" ht="15" customHeight="1" x14ac:dyDescent="0.2">
      <c r="A3" s="56"/>
      <c r="B3" s="58" t="s">
        <v>41</v>
      </c>
      <c r="C3" s="58"/>
      <c r="D3" s="58"/>
      <c r="E3" s="60" t="s">
        <v>42</v>
      </c>
      <c r="F3" s="60"/>
      <c r="G3" s="60"/>
      <c r="H3" s="46" t="s">
        <v>43</v>
      </c>
      <c r="I3" s="46"/>
      <c r="J3" s="46"/>
      <c r="K3" s="48" t="s">
        <v>44</v>
      </c>
      <c r="L3" s="48"/>
      <c r="M3" s="48"/>
      <c r="N3" s="50" t="s">
        <v>45</v>
      </c>
      <c r="O3" s="50"/>
      <c r="P3" s="50"/>
    </row>
    <row r="4" spans="1:16" ht="54.9" customHeight="1" x14ac:dyDescent="0.2">
      <c r="A4" s="9" t="s">
        <v>46</v>
      </c>
      <c r="B4" s="40"/>
      <c r="C4" s="40"/>
      <c r="D4" s="40"/>
      <c r="E4" s="41"/>
      <c r="F4" s="41"/>
      <c r="G4" s="41"/>
      <c r="H4" s="42"/>
      <c r="I4" s="42"/>
      <c r="J4" s="42"/>
      <c r="K4" s="43"/>
      <c r="L4" s="43"/>
      <c r="M4" s="43"/>
      <c r="N4" s="44"/>
      <c r="O4" s="44"/>
      <c r="P4" s="44"/>
    </row>
    <row r="5" spans="1:16" ht="18" customHeight="1" x14ac:dyDescent="0.2">
      <c r="A5" s="39">
        <v>1</v>
      </c>
      <c r="B5" s="37"/>
      <c r="C5" s="37"/>
      <c r="D5" s="25"/>
      <c r="E5" s="37"/>
      <c r="F5" s="37"/>
      <c r="G5" s="25"/>
      <c r="H5" s="37"/>
      <c r="I5" s="37"/>
      <c r="J5" s="25"/>
      <c r="K5" s="37"/>
      <c r="L5" s="37"/>
      <c r="M5" s="25"/>
      <c r="N5" s="37"/>
      <c r="O5" s="37"/>
      <c r="P5" s="25"/>
    </row>
    <row r="6" spans="1:16" ht="62.1" customHeight="1" x14ac:dyDescent="0.2">
      <c r="A6" s="39"/>
      <c r="B6" s="38"/>
      <c r="C6" s="38"/>
      <c r="D6" s="38"/>
      <c r="E6" s="38"/>
      <c r="F6" s="38"/>
      <c r="G6" s="38"/>
      <c r="H6" s="38"/>
      <c r="I6" s="38"/>
      <c r="J6" s="38"/>
      <c r="K6" s="38"/>
      <c r="L6" s="38"/>
      <c r="M6" s="38"/>
      <c r="N6" s="38"/>
      <c r="O6" s="38"/>
      <c r="P6" s="38"/>
    </row>
    <row r="7" spans="1:16" ht="18" customHeight="1" x14ac:dyDescent="0.2">
      <c r="A7" s="39">
        <v>2</v>
      </c>
      <c r="B7" s="37"/>
      <c r="C7" s="37"/>
      <c r="D7" s="25"/>
      <c r="E7" s="37"/>
      <c r="F7" s="37"/>
      <c r="G7" s="25"/>
      <c r="H7" s="37"/>
      <c r="I7" s="37"/>
      <c r="J7" s="25"/>
      <c r="K7" s="37"/>
      <c r="L7" s="37"/>
      <c r="M7" s="25"/>
      <c r="N7" s="37"/>
      <c r="O7" s="37"/>
      <c r="P7" s="25"/>
    </row>
    <row r="8" spans="1:16" ht="62.1" customHeight="1" x14ac:dyDescent="0.2">
      <c r="A8" s="39"/>
      <c r="B8" s="38"/>
      <c r="C8" s="38"/>
      <c r="D8" s="38"/>
      <c r="E8" s="38"/>
      <c r="F8" s="38"/>
      <c r="G8" s="38"/>
      <c r="H8" s="38"/>
      <c r="I8" s="38"/>
      <c r="J8" s="38"/>
      <c r="K8" s="38"/>
      <c r="L8" s="38"/>
      <c r="M8" s="38"/>
      <c r="N8" s="38"/>
      <c r="O8" s="38"/>
      <c r="P8" s="38"/>
    </row>
    <row r="9" spans="1:16" ht="18" customHeight="1" x14ac:dyDescent="0.2">
      <c r="A9" s="39">
        <v>3</v>
      </c>
      <c r="B9" s="37"/>
      <c r="C9" s="37"/>
      <c r="D9" s="25"/>
      <c r="E9" s="37"/>
      <c r="F9" s="37"/>
      <c r="G9" s="25"/>
      <c r="H9" s="37"/>
      <c r="I9" s="37"/>
      <c r="J9" s="25"/>
      <c r="K9" s="37"/>
      <c r="L9" s="37"/>
      <c r="M9" s="25"/>
      <c r="N9" s="37"/>
      <c r="O9" s="37"/>
      <c r="P9" s="25"/>
    </row>
    <row r="10" spans="1:16" ht="62.1" customHeight="1" x14ac:dyDescent="0.2">
      <c r="A10" s="39"/>
      <c r="B10" s="38"/>
      <c r="C10" s="38"/>
      <c r="D10" s="38"/>
      <c r="E10" s="38"/>
      <c r="F10" s="38"/>
      <c r="G10" s="38"/>
      <c r="H10" s="38"/>
      <c r="I10" s="38"/>
      <c r="J10" s="38"/>
      <c r="K10" s="38"/>
      <c r="L10" s="38"/>
      <c r="M10" s="38"/>
      <c r="N10" s="38"/>
      <c r="O10" s="38"/>
      <c r="P10" s="38"/>
    </row>
    <row r="11" spans="1:16" ht="18" customHeight="1" x14ac:dyDescent="0.2">
      <c r="A11" s="39">
        <v>4</v>
      </c>
      <c r="B11" s="37"/>
      <c r="C11" s="37"/>
      <c r="D11" s="25"/>
      <c r="E11" s="37"/>
      <c r="F11" s="37"/>
      <c r="G11" s="25"/>
      <c r="H11" s="37"/>
      <c r="I11" s="37"/>
      <c r="J11" s="25"/>
      <c r="K11" s="37"/>
      <c r="L11" s="37"/>
      <c r="M11" s="25"/>
      <c r="N11" s="37"/>
      <c r="O11" s="37"/>
      <c r="P11" s="25"/>
    </row>
    <row r="12" spans="1:16" ht="62.1" customHeight="1" x14ac:dyDescent="0.2">
      <c r="A12" s="39"/>
      <c r="B12" s="38"/>
      <c r="C12" s="38"/>
      <c r="D12" s="38"/>
      <c r="E12" s="38"/>
      <c r="F12" s="38"/>
      <c r="G12" s="38"/>
      <c r="H12" s="38"/>
      <c r="I12" s="38"/>
      <c r="J12" s="38"/>
      <c r="K12" s="38"/>
      <c r="L12" s="38"/>
      <c r="M12" s="38"/>
      <c r="N12" s="38"/>
      <c r="O12" s="38"/>
      <c r="P12" s="38"/>
    </row>
    <row r="13" spans="1:16" ht="18" customHeight="1" x14ac:dyDescent="0.2">
      <c r="A13" s="39">
        <v>5</v>
      </c>
      <c r="B13" s="37"/>
      <c r="C13" s="37"/>
      <c r="D13" s="25"/>
      <c r="E13" s="37"/>
      <c r="F13" s="37"/>
      <c r="G13" s="25"/>
      <c r="H13" s="37"/>
      <c r="I13" s="37"/>
      <c r="J13" s="25"/>
      <c r="K13" s="37"/>
      <c r="L13" s="37"/>
      <c r="M13" s="25"/>
      <c r="N13" s="37"/>
      <c r="O13" s="37"/>
      <c r="P13" s="25"/>
    </row>
    <row r="14" spans="1:16" ht="62.1" customHeight="1" x14ac:dyDescent="0.2">
      <c r="A14" s="39"/>
      <c r="B14" s="38"/>
      <c r="C14" s="38"/>
      <c r="D14" s="38"/>
      <c r="E14" s="38"/>
      <c r="F14" s="38"/>
      <c r="G14" s="38"/>
      <c r="H14" s="38"/>
      <c r="I14" s="38"/>
      <c r="J14" s="38"/>
      <c r="K14" s="38"/>
      <c r="L14" s="38"/>
      <c r="M14" s="38"/>
      <c r="N14" s="38"/>
      <c r="O14" s="38"/>
      <c r="P14" s="38"/>
    </row>
    <row r="15" spans="1:16" ht="18" customHeight="1" x14ac:dyDescent="0.2">
      <c r="A15" s="39">
        <v>6</v>
      </c>
      <c r="B15" s="37"/>
      <c r="C15" s="37"/>
      <c r="D15" s="25"/>
      <c r="E15" s="37"/>
      <c r="F15" s="37"/>
      <c r="G15" s="25"/>
      <c r="H15" s="37"/>
      <c r="I15" s="37"/>
      <c r="J15" s="25"/>
      <c r="K15" s="37"/>
      <c r="L15" s="37"/>
      <c r="M15" s="25"/>
      <c r="N15" s="37"/>
      <c r="O15" s="37"/>
      <c r="P15" s="25"/>
    </row>
    <row r="16" spans="1:16" ht="62.1" customHeight="1" x14ac:dyDescent="0.2">
      <c r="A16" s="39"/>
      <c r="B16" s="38"/>
      <c r="C16" s="38"/>
      <c r="D16" s="38"/>
      <c r="E16" s="38"/>
      <c r="F16" s="38"/>
      <c r="G16" s="38"/>
      <c r="H16" s="38"/>
      <c r="I16" s="38"/>
      <c r="J16" s="38"/>
      <c r="K16" s="38"/>
      <c r="L16" s="38"/>
      <c r="M16" s="38"/>
      <c r="N16" s="38"/>
      <c r="O16" s="38"/>
      <c r="P16" s="38"/>
    </row>
    <row r="17" spans="1:16" ht="18" customHeight="1" x14ac:dyDescent="0.2">
      <c r="A17" s="39">
        <v>7</v>
      </c>
      <c r="B17" s="37"/>
      <c r="C17" s="37"/>
      <c r="D17" s="25"/>
      <c r="E17" s="37"/>
      <c r="F17" s="37"/>
      <c r="G17" s="25"/>
      <c r="H17" s="37"/>
      <c r="I17" s="37"/>
      <c r="J17" s="25"/>
      <c r="K17" s="37"/>
      <c r="L17" s="37"/>
      <c r="M17" s="25"/>
      <c r="N17" s="37"/>
      <c r="O17" s="37"/>
      <c r="P17" s="25"/>
    </row>
    <row r="18" spans="1:16" ht="62.1" customHeight="1" x14ac:dyDescent="0.2">
      <c r="A18" s="39"/>
      <c r="B18" s="38"/>
      <c r="C18" s="38"/>
      <c r="D18" s="38"/>
      <c r="E18" s="38"/>
      <c r="F18" s="38"/>
      <c r="G18" s="38"/>
      <c r="H18" s="38"/>
      <c r="I18" s="38"/>
      <c r="J18" s="38"/>
      <c r="K18" s="38"/>
      <c r="L18" s="38"/>
      <c r="M18" s="38"/>
      <c r="N18" s="38"/>
      <c r="O18" s="38"/>
      <c r="P18" s="38"/>
    </row>
    <row r="19" spans="1:16" ht="54.9" customHeight="1" x14ac:dyDescent="0.2">
      <c r="A19" s="10" t="s">
        <v>47</v>
      </c>
      <c r="B19" s="34"/>
      <c r="C19" s="34"/>
      <c r="D19" s="34"/>
      <c r="E19" s="34"/>
      <c r="F19" s="34"/>
      <c r="G19" s="34"/>
      <c r="H19" s="34"/>
      <c r="I19" s="34"/>
      <c r="J19" s="34"/>
      <c r="K19" s="34"/>
      <c r="L19" s="34"/>
      <c r="M19" s="34"/>
      <c r="N19" s="34"/>
      <c r="O19" s="34"/>
      <c r="P19" s="34"/>
    </row>
    <row r="20" spans="1:16" hidden="1" x14ac:dyDescent="0.2">
      <c r="A20" s="11"/>
      <c r="B20" s="11"/>
      <c r="C20" s="11"/>
      <c r="D20" s="11"/>
      <c r="E20" s="11"/>
      <c r="F20" s="11"/>
      <c r="G20" s="11"/>
      <c r="H20" s="11"/>
      <c r="I20" s="11"/>
      <c r="J20" s="11"/>
      <c r="K20" s="11"/>
      <c r="L20" s="11"/>
      <c r="M20" s="11"/>
      <c r="N20" s="11"/>
      <c r="O20" s="11"/>
      <c r="P20" s="11"/>
    </row>
    <row r="21" spans="1:16" ht="13.5" customHeight="1" x14ac:dyDescent="0.2">
      <c r="A21" s="12" t="s">
        <v>48</v>
      </c>
      <c r="B21" s="12">
        <f>IF(基本設定!B6="","",基本設定!B6)</f>
      </c>
      <c r="C21" s="12">
        <f>IF(基本設定!B7="","",基本設定!B7)</f>
      </c>
      <c r="D21" s="12">
        <f>IF(基本設定!B8="","",基本設定!B8)</f>
      </c>
      <c r="E21" s="12">
        <f>IF(基本設定!B9="","",基本設定!B9)</f>
      </c>
      <c r="F21" s="12">
        <f>IF(基本設定!B10="","",基本設定!B10)</f>
      </c>
      <c r="G21" s="12">
        <f>IF(基本設定!B11="","",基本設定!B11)</f>
      </c>
      <c r="H21" s="12"/>
      <c r="I21" s="12"/>
      <c r="J21" s="12"/>
      <c r="K21" s="12"/>
      <c r="L21" s="12"/>
      <c r="M21" s="13" t="s">
        <v>53</v>
      </c>
      <c r="N21" s="12" t="s">
        <v>20</v>
      </c>
      <c r="O21" s="12" t="s">
        <v>22</v>
      </c>
      <c r="P21" s="14" t="s">
        <v>49</v>
      </c>
    </row>
    <row r="22" spans="1:16" ht="13.5" customHeight="1" x14ac:dyDescent="0.2">
      <c r="A22" s="15" t="s">
        <v>50</v>
      </c>
      <c r="B22" s="16">
        <f>IF(B21="","",IFERROR(VALUE(VLOOKUP(B21,基本設定!$A$23:$B$35,2,FALSE())),""))</f>
      </c>
      <c r="C22" s="16">
        <f>IF(C21="","",IFERROR(VALUE(VLOOKUP(C21,基本設定!$A$23:$B$35,2,FALSE())),""))</f>
      </c>
      <c r="D22" s="16">
        <f>IF(D21="","",IFERROR(VALUE(VLOOKUP(D21,基本設定!$A$23:$B$35,2,FALSE())),""))</f>
      </c>
      <c r="E22" s="16">
        <f>IF(E21="","",IFERROR(VALUE(VLOOKUP(E21,基本設定!$A$23:$B$35,2,FALSE())),""))</f>
      </c>
      <c r="F22" s="16">
        <f>IF(F21="","",IFERROR(VALUE(VLOOKUP(F21,基本設定!$A$23:$B$35,2,FALSE())),""))</f>
      </c>
      <c r="G22" s="16">
        <f>IF(G21="","",IFERROR(VALUE(VLOOKUP(G21,基本設定!$A$23:$B$35,2,FALSE())),""))</f>
      </c>
      <c r="H22" s="17"/>
      <c r="I22" s="17"/>
      <c r="J22" s="17"/>
      <c r="K22" s="17"/>
      <c r="L22" s="17"/>
      <c r="M22" s="17">
        <v>1</v>
      </c>
      <c r="N22" s="17">
        <f>IF(N21="","",IFERROR(VALUE(VLOOKUP(N21,基本設定!$A$23:$B$35,2,FALSE())),""))</f>
      </c>
      <c r="O22" s="17">
        <f>IF(O21="","",IFERROR(VALUE(VLOOKUP(O21,基本設定!$A$23:$B$35,2,FALSE())),""))</f>
      </c>
      <c r="P22" s="18">
        <f>IF(SUM(B22:O22)=0,"",SUM(B22:O22))</f>
      </c>
    </row>
    <row r="23" spans="1:16" ht="13.5" customHeight="1" x14ac:dyDescent="0.2">
      <c r="A23" s="35" t="s">
        <v>51</v>
      </c>
      <c r="B23" s="19">
        <f>IF(B21="","",IF(B24="","",B24-(SUMPRODUCT((B5:C5=B21)*(D5="×"))+SUMPRODUCT((E5:F5=B21)*(G5="×"))+SUMPRODUCT((H5:I5=B21)*(J5="×"))+SUMPRODUCT((K5:L5=B21)*(M5="×"))+SUMPRODUCT((N5:O5=B21)*(P5="×"))+SUMPRODUCT((B7:C7=B21)*(D7="×"))+SUMPRODUCT((E7:F7=B21)*(G7="×"))+SUMPRODUCT((H7:I7=B21)*(J7="×"))+SUMPRODUCT((K7:L7=B21)*(M7="×"))+SUMPRODUCT((N7:O7=B21)*(P7="×"))+SUMPRODUCT((B9:C9=B21)*(D9="×"))+SUMPRODUCT((E9:F9=B21)*(G9="×"))+SUMPRODUCT((H9:I9=B21)*(J9="×"))+SUMPRODUCT((K9:L9=B21)*(M9="×"))+SUMPRODUCT((N9:O9=B21)*(P9="×"))+SUMPRODUCT((B11:C11=B21)*(D11="×"))+SUMPRODUCT((E11:F11=B21)*(G11="×"))+SUMPRODUCT((H11:I11=B21)*(J11="×"))+SUMPRODUCT((K11:L11=B21)*(M11="×"))+SUMPRODUCT((N11:O11=B21)*(P11="×"))+SUMPRODUCT((B13:C13=B21)*(D13="×"))+SUMPRODUCT((E13:F13=B21)*(G13="×"))+SUMPRODUCT((H13:I13=B21)*(J13="×"))+SUMPRODUCT((K13:L13=B21)*(M13="×"))+SUMPRODUCT((N13:O13=B21)*(P13="×"))+SUMPRODUCT((B15:C15=B21)*(D15="×"))+SUMPRODUCT((E15:F15=B21)*(G15="×"))+SUMPRODUCT((H15:I15=B21)*(J15="×"))+SUMPRODUCT((K15:L15=B21)*(M15="×"))+SUMPRODUCT((N15:O15=B21)*(P15="×"))+SUMPRODUCT((B17:C17=B21)*(D17="×"))+SUMPRODUCT((E17:F17=B21)*(G17="×"))+SUMPRODUCT((H17:I17=B21)*(J17="×"))+SUMPRODUCT((K17:L17=B21)*(M17="×"))+SUMPRODUCT((N17:O17=B21)*(P17="×")))))</f>
        <v/>
      </c>
      <c r="C23" s="19">
        <f>IF(C21="","",IF(C24="","",C24-(SUMPRODUCT((B5:C5=C21)*(D5="×"))+SUMPRODUCT((E5:F5=C21)*(G5="×"))+SUMPRODUCT((H5:I5=C21)*(J5="×"))+SUMPRODUCT((K5:L5=C21)*(M5="×"))+SUMPRODUCT((N5:O5=C21)*(P5="×"))+SUMPRODUCT((B7:C7=C21)*(D7="×"))+SUMPRODUCT((E7:F7=C21)*(G7="×"))+SUMPRODUCT((H7:I7=C21)*(J7="×"))+SUMPRODUCT((K7:L7=C21)*(M7="×"))+SUMPRODUCT((N7:O7=C21)*(P7="×"))+SUMPRODUCT((B9:C9=C21)*(D9="×"))+SUMPRODUCT((E9:F9=C21)*(G9="×"))+SUMPRODUCT((H9:I9=C21)*(J9="×"))+SUMPRODUCT((K9:L9=C21)*(M9="×"))+SUMPRODUCT((N9:O9=C21)*(P9="×"))+SUMPRODUCT((B11:C11=C21)*(D11="×"))+SUMPRODUCT((E11:F11=C21)*(G11="×"))+SUMPRODUCT((H11:I11=C21)*(J11="×"))+SUMPRODUCT((K11:L11=C21)*(M11="×"))+SUMPRODUCT((N11:O11=C21)*(P11="×"))+SUMPRODUCT((B13:C13=C21)*(D13="×"))+SUMPRODUCT((E13:F13=C21)*(G13="×"))+SUMPRODUCT((H13:I13=C21)*(J13="×"))+SUMPRODUCT((K13:L13=C21)*(M13="×"))+SUMPRODUCT((N13:O13=C21)*(P13="×"))+SUMPRODUCT((B15:C15=C21)*(D15="×"))+SUMPRODUCT((E15:F15=C21)*(G15="×"))+SUMPRODUCT((H15:I15=C21)*(J15="×"))+SUMPRODUCT((K15:L15=C21)*(M15="×"))+SUMPRODUCT((N15:O15=C21)*(P15="×"))+SUMPRODUCT((B17:C17=C21)*(D17="×"))+SUMPRODUCT((E17:F17=C21)*(G17="×"))+SUMPRODUCT((H17:I17=C21)*(J17="×"))+SUMPRODUCT((K17:L17=C21)*(M17="×"))+SUMPRODUCT((N17:O17=C21)*(P17="×")))))</f>
        <v/>
      </c>
      <c r="D23" s="19">
        <f>IF(D21="","",IF(D24="","",D24-(SUMPRODUCT((B5:C5=D21)*(D5="×"))+SUMPRODUCT((E5:F5=D21)*(G5="×"))+SUMPRODUCT((H5:I5=D21)*(J5="×"))+SUMPRODUCT((K5:L5=D21)*(M5="×"))+SUMPRODUCT((N5:O5=D21)*(P5="×"))+SUMPRODUCT((B7:C7=D21)*(D7="×"))+SUMPRODUCT((E7:F7=D21)*(G7="×"))+SUMPRODUCT((H7:I7=D21)*(J7="×"))+SUMPRODUCT((K7:L7=D21)*(M7="×"))+SUMPRODUCT((N7:O7=D21)*(P7="×"))+SUMPRODUCT((B9:C9=D21)*(D9="×"))+SUMPRODUCT((E9:F9=D21)*(G9="×"))+SUMPRODUCT((H9:I9=D21)*(J9="×"))+SUMPRODUCT((K9:L9=D21)*(M9="×"))+SUMPRODUCT((N9:O9=D21)*(P9="×"))+SUMPRODUCT((B11:C11=D21)*(D11="×"))+SUMPRODUCT((E11:F11=D21)*(G11="×"))+SUMPRODUCT((H11:I11=D21)*(J11="×"))+SUMPRODUCT((K11:L11=D21)*(M11="×"))+SUMPRODUCT((N11:O11=D21)*(P11="×"))+SUMPRODUCT((B13:C13=D21)*(D13="×"))+SUMPRODUCT((E13:F13=D21)*(G13="×"))+SUMPRODUCT((H13:I13=D21)*(J13="×"))+SUMPRODUCT((K13:L13=D21)*(M13="×"))+SUMPRODUCT((N13:O13=D21)*(P13="×"))+SUMPRODUCT((B15:C15=D21)*(D15="×"))+SUMPRODUCT((E15:F15=D21)*(G15="×"))+SUMPRODUCT((H15:I15=D21)*(J15="×"))+SUMPRODUCT((K15:L15=D21)*(M15="×"))+SUMPRODUCT((N15:O15=D21)*(P15="×"))+SUMPRODUCT((B17:C17=D21)*(D17="×"))+SUMPRODUCT((E17:F17=D21)*(G17="×"))+SUMPRODUCT((H17:I17=D21)*(J17="×"))+SUMPRODUCT((K17:L17=D21)*(M17="×"))+SUMPRODUCT((N17:O17=D21)*(P17="×")))))</f>
        <v/>
      </c>
      <c r="E23" s="19">
        <f>IF(E21="","",IF(E24="","",E24-(SUMPRODUCT((B5:C5=E21)*(D5="×"))+SUMPRODUCT((E5:F5=E21)*(G5="×"))+SUMPRODUCT((H5:I5=E21)*(J5="×"))+SUMPRODUCT((K5:L5=E21)*(M5="×"))+SUMPRODUCT((N5:O5=E21)*(P5="×"))+SUMPRODUCT((B7:C7=E21)*(D7="×"))+SUMPRODUCT((E7:F7=E21)*(G7="×"))+SUMPRODUCT((H7:I7=E21)*(J7="×"))+SUMPRODUCT((K7:L7=E21)*(M7="×"))+SUMPRODUCT((N7:O7=E21)*(P7="×"))+SUMPRODUCT((B9:C9=E21)*(D9="×"))+SUMPRODUCT((E9:F9=E21)*(G9="×"))+SUMPRODUCT((H9:I9=E21)*(J9="×"))+SUMPRODUCT((K9:L9=E21)*(M9="×"))+SUMPRODUCT((N9:O9=E21)*(P9="×"))+SUMPRODUCT((B11:C11=E21)*(D11="×"))+SUMPRODUCT((E11:F11=E21)*(G11="×"))+SUMPRODUCT((H11:I11=E21)*(J11="×"))+SUMPRODUCT((K11:L11=E21)*(M11="×"))+SUMPRODUCT((N11:O11=E21)*(P11="×"))+SUMPRODUCT((B13:C13=E21)*(D13="×"))+SUMPRODUCT((E13:F13=E21)*(G13="×"))+SUMPRODUCT((H13:I13=E21)*(J13="×"))+SUMPRODUCT((K13:L13=E21)*(M13="×"))+SUMPRODUCT((N13:O13=E21)*(P13="×"))+SUMPRODUCT((B15:C15=E21)*(D15="×"))+SUMPRODUCT((E15:F15=E21)*(G15="×"))+SUMPRODUCT((H15:I15=E21)*(J15="×"))+SUMPRODUCT((K15:L15=E21)*(M15="×"))+SUMPRODUCT((N15:O15=E21)*(P15="×"))+SUMPRODUCT((B17:C17=E21)*(D17="×"))+SUMPRODUCT((E17:F17=E21)*(G17="×"))+SUMPRODUCT((H17:I17=E21)*(J17="×"))+SUMPRODUCT((K17:L17=E21)*(M17="×"))+SUMPRODUCT((N17:O17=E21)*(P17="×")))))</f>
        <v/>
      </c>
      <c r="F23" s="19">
        <f>IF(F21="","",IF(F24="","",F24-(SUMPRODUCT((B5:C5=F21)*(D5="×"))+SUMPRODUCT((E5:F5=F21)*(G5="×"))+SUMPRODUCT((H5:I5=F21)*(J5="×"))+SUMPRODUCT((K5:L5=F21)*(M5="×"))+SUMPRODUCT((N5:O5=F21)*(P5="×"))+SUMPRODUCT((B7:C7=F21)*(D7="×"))+SUMPRODUCT((E7:F7=F21)*(G7="×"))+SUMPRODUCT((H7:I7=F21)*(J7="×"))+SUMPRODUCT((K7:L7=F21)*(M7="×"))+SUMPRODUCT((N7:O7=F21)*(P7="×"))+SUMPRODUCT((B9:C9=F21)*(D9="×"))+SUMPRODUCT((E9:F9=F21)*(G9="×"))+SUMPRODUCT((H9:I9=F21)*(J9="×"))+SUMPRODUCT((K9:L9=F21)*(M9="×"))+SUMPRODUCT((N9:O9=F21)*(P9="×"))+SUMPRODUCT((B11:C11=F21)*(D11="×"))+SUMPRODUCT((E11:F11=F21)*(G11="×"))+SUMPRODUCT((H11:I11=F21)*(J11="×"))+SUMPRODUCT((K11:L11=F21)*(M11="×"))+SUMPRODUCT((N11:O11=F21)*(P11="×"))+SUMPRODUCT((B13:C13=F21)*(D13="×"))+SUMPRODUCT((E13:F13=F21)*(G13="×"))+SUMPRODUCT((H13:I13=F21)*(J13="×"))+SUMPRODUCT((K13:L13=F21)*(M13="×"))+SUMPRODUCT((N13:O13=F21)*(P13="×"))+SUMPRODUCT((B15:C15=F21)*(D15="×"))+SUMPRODUCT((E15:F15=F21)*(G15="×"))+SUMPRODUCT((H15:I15=F21)*(J15="×"))+SUMPRODUCT((K15:L15=F21)*(M15="×"))+SUMPRODUCT((N15:O15=F21)*(P15="×"))+SUMPRODUCT((B17:C17=F21)*(D17="×"))+SUMPRODUCT((E17:F17=F21)*(G17="×"))+SUMPRODUCT((H17:I17=F21)*(J17="×"))+SUMPRODUCT((K17:L17=F21)*(M17="×"))+SUMPRODUCT((N17:O17=F21)*(P17="×")))))</f>
        <v/>
      </c>
      <c r="G23" s="19">
        <f>IF(G21="","",IF(G24="","",G24-(SUMPRODUCT((B5:C5=G21)*(D5="×"))+SUMPRODUCT((E5:F5=G21)*(G5="×"))+SUMPRODUCT((H5:I5=G21)*(J5="×"))+SUMPRODUCT((K5:L5=G21)*(M5="×"))+SUMPRODUCT((N5:O5=G21)*(P5="×"))+SUMPRODUCT((B7:C7=G21)*(D7="×"))+SUMPRODUCT((E7:F7=G21)*(G7="×"))+SUMPRODUCT((H7:I7=G21)*(J7="×"))+SUMPRODUCT((K7:L7=G21)*(M7="×"))+SUMPRODUCT((N7:O7=G21)*(P7="×"))+SUMPRODUCT((B9:C9=G21)*(D9="×"))+SUMPRODUCT((E9:F9=G21)*(G9="×"))+SUMPRODUCT((H9:I9=G21)*(J9="×"))+SUMPRODUCT((K9:L9=G21)*(M9="×"))+SUMPRODUCT((N9:O9=G21)*(P9="×"))+SUMPRODUCT((B11:C11=G21)*(D11="×"))+SUMPRODUCT((E11:F11=G21)*(G11="×"))+SUMPRODUCT((H11:I11=G21)*(J11="×"))+SUMPRODUCT((K11:L11=G21)*(M11="×"))+SUMPRODUCT((N11:O11=G21)*(P11="×"))+SUMPRODUCT((B13:C13=G21)*(D13="×"))+SUMPRODUCT((E13:F13=G21)*(G13="×"))+SUMPRODUCT((H13:I13=G21)*(J13="×"))+SUMPRODUCT((K13:L13=G21)*(M13="×"))+SUMPRODUCT((N13:O13=G21)*(P13="×"))+SUMPRODUCT((B15:C15=G21)*(D15="×"))+SUMPRODUCT((E15:F15=G21)*(G15="×"))+SUMPRODUCT((H15:I15=G21)*(J15="×"))+SUMPRODUCT((K15:L15=G21)*(M15="×"))+SUMPRODUCT((N15:O15=G21)*(P15="×"))+SUMPRODUCT((B17:C17=G21)*(D17="×"))+SUMPRODUCT((E17:F17=G21)*(G17="×"))+SUMPRODUCT((H17:I17=G21)*(J17="×"))+SUMPRODUCT((K17:L17=G21)*(M17="×"))+SUMPRODUCT((N17:O17=G21)*(P17="×")))))</f>
        <v/>
      </c>
      <c r="H23" s="19"/>
      <c r="I23" s="19"/>
      <c r="J23" s="19"/>
      <c r="K23" s="19"/>
      <c r="L23" s="19"/>
      <c r="M23" s="19">
        <f>IF(M24="","",M24-(SUMPRODUCT((B5:C5="特活")*(D5="×"))+SUMPRODUCT((B5:C5="学活")*(D5="×"))+SUMPRODUCT((E5:F5="特活")*(G5="×"))+SUMPRODUCT((E5:F5="学活")*(G5="×"))+SUMPRODUCT((H5:I5="特活")*(J5="×"))+SUMPRODUCT((H5:I5="学活")*(J5="×"))+SUMPRODUCT((K5:L5="特活")*(M5="×"))+SUMPRODUCT((K5:L5="学活")*(M5="×"))+SUMPRODUCT((N5:O5="特活")*(P5="×"))+SUMPRODUCT((N5:O5="学活")*(P5="×"))+SUMPRODUCT((B7:C7="特活")*(D7="×"))+SUMPRODUCT((B7:C7="学活")*(D7="×"))+SUMPRODUCT((E7:F7="特活")*(G7="×"))+SUMPRODUCT((E7:F7="学活")*(G7="×"))+SUMPRODUCT((H7:I7="特活")*(J7="×"))+SUMPRODUCT((H7:I7="学活")*(J7="×"))+SUMPRODUCT((K7:L7="特活")*(M7="×"))+SUMPRODUCT((K7:L7="学活")*(M7="×"))+SUMPRODUCT((N7:O7="特活")*(P7="×"))+SUMPRODUCT((N7:O7="学活")*(P7="×"))+SUMPRODUCT((B9:C9="特活")*(D9="×"))+SUMPRODUCT((B9:C9="学活")*(D9="×"))+SUMPRODUCT((E9:F9="特活")*(G9="×"))+SUMPRODUCT((E9:F9="学活")*(G9="×"))+SUMPRODUCT((H9:I9="特活")*(J9="×"))+SUMPRODUCT((H9:I9="学活")*(J9="×"))+SUMPRODUCT((K9:L9="特活")*(M9="×"))+SUMPRODUCT((K9:L9="学活")*(M9="×"))+SUMPRODUCT((N9:O9="特活")*(P9="×"))+SUMPRODUCT((N9:O9="学活")*(P9="×"))+SUMPRODUCT((B11:C11="特活")*(D11="×"))+SUMPRODUCT((B11:C11="学活")*(D11="×"))+SUMPRODUCT((E11:F11="特活")*(G11="×"))+SUMPRODUCT((E11:F11="学活")*(G11="×"))+SUMPRODUCT((H11:I11="特活")*(J11="×"))+SUMPRODUCT((H11:I11="学活")*(J11="×"))+SUMPRODUCT((K11:L11="特活")*(M11="×"))+SUMPRODUCT((K11:L11="学活")*(M11="×"))+SUMPRODUCT((N11:O11="特活")*(P11="×"))+SUMPRODUCT((N11:O11="学活")*(P11="×"))+SUMPRODUCT((B13:C13="特活")*(D13="×"))+SUMPRODUCT((B13:C13="学活")*(D13="×"))+SUMPRODUCT((E13:F13="特活")*(G13="×"))+SUMPRODUCT((E13:F13="学活")*(G13="×"))+SUMPRODUCT((H13:I13="特活")*(J13="×"))+SUMPRODUCT((H13:I13="学活")*(J13="×"))+SUMPRODUCT((K13:L13="特活")*(M13="×"))+SUMPRODUCT((K13:L13="学活")*(M13="×"))+SUMPRODUCT((N13:O13="特活")*(P13="×"))+SUMPRODUCT((N13:O13="学活")*(P13="×"))+SUMPRODUCT((B15:C15="特活")*(D15="×"))+SUMPRODUCT((B15:C15="学活")*(D15="×"))+SUMPRODUCT((E15:F15="特活")*(G15="×"))+SUMPRODUCT((E15:F15="学活")*(G15="×"))+SUMPRODUCT((H15:I15="特活")*(J15="×"))+SUMPRODUCT((H15:I15="学活")*(J15="×"))+SUMPRODUCT((K15:L15="特活")*(M15="×"))+SUMPRODUCT((K15:L15="学活")*(M15="×"))+SUMPRODUCT((N15:O15="特活")*(P15="×"))+SUMPRODUCT((N15:O15="学活")*(P15="×"))+SUMPRODUCT((B17:C17="特活")*(D17="×"))+SUMPRODUCT((B17:C17="学活")*(D17="×"))+SUMPRODUCT((E17:F17="特活")*(G17="×"))+SUMPRODUCT((E17:F17="学活")*(G17="×"))+SUMPRODUCT((H17:I17="特活")*(J17="×"))+SUMPRODUCT((H17:I17="学活")*(J17="×"))+SUMPRODUCT((K17:L17="特活")*(M17="×"))+SUMPRODUCT((K17:L17="学活")*(M17="×"))+SUMPRODUCT((N17:O17="特活")*(P17="×"))+SUMPRODUCT((N17:O17="学活")*(P17="×"))))</f>
        <v/>
      </c>
      <c r="N23" s="19">
        <f>IF(N24="","",N24-(SUMPRODUCT((B5:C5=N21)*(D5="×"))+SUMPRODUCT((E5:F5=N21)*(G5="×"))+SUMPRODUCT((H5:I5=N21)*(J5="×"))+SUMPRODUCT((K5:L5=N21)*(M5="×"))+SUMPRODUCT((N5:O5=N21)*(P5="×"))+SUMPRODUCT((B7:C7=N21)*(D7="×"))+SUMPRODUCT((E7:F7=N21)*(G7="×"))+SUMPRODUCT((H7:I7=N21)*(J7="×"))+SUMPRODUCT((K7:L7=N21)*(M7="×"))+SUMPRODUCT((N7:O7=N21)*(P7="×"))+SUMPRODUCT((B9:C9=N21)*(D9="×"))+SUMPRODUCT((E9:F9=N21)*(G9="×"))+SUMPRODUCT((H9:I9=N21)*(J9="×"))+SUMPRODUCT((K9:L9=N21)*(M9="×"))+SUMPRODUCT((N9:O9=N21)*(P9="×"))+SUMPRODUCT((B11:C11=N21)*(D11="×"))+SUMPRODUCT((E11:F11=N21)*(G11="×"))+SUMPRODUCT((H11:I11=N21)*(J11="×"))+SUMPRODUCT((K11:L11=N21)*(M11="×"))+SUMPRODUCT((N11:O11=N21)*(P11="×"))+SUMPRODUCT((B13:C13=N21)*(D13="×"))+SUMPRODUCT((E13:F13=N21)*(G13="×"))+SUMPRODUCT((H13:I13=N21)*(J13="×"))+SUMPRODUCT((K13:L13=N21)*(M13="×"))+SUMPRODUCT((N13:O13=N21)*(P13="×"))+SUMPRODUCT((B15:C15=N21)*(D15="×"))+SUMPRODUCT((E15:F15=N21)*(G15="×"))+SUMPRODUCT((H15:I15=N21)*(J15="×"))+SUMPRODUCT((K15:L15=N21)*(M15="×"))+SUMPRODUCT((N15:O15=N21)*(P15="×"))+SUMPRODUCT((B17:C17=N21)*(D17="×"))+SUMPRODUCT((E17:F17=N21)*(G17="×"))+SUMPRODUCT((H17:I17=N21)*(J17="×"))+SUMPRODUCT((K17:L17=N21)*(M17="×"))+SUMPRODUCT((N17:O17=N21)*(P17="×"))))</f>
        <v/>
      </c>
      <c r="O23" s="19">
        <f>IF(O24="","",O24-(SUMPRODUCT((B5:C5=O21)*(D5="×"))+SUMPRODUCT((E5:F5=O21)*(G5="×"))+SUMPRODUCT((H5:I5=O21)*(J5="×"))+SUMPRODUCT((K5:L5=O21)*(M5="×"))+SUMPRODUCT((N5:O5=O21)*(P5="×"))+SUMPRODUCT((B7:C7=O21)*(D7="×"))+SUMPRODUCT((E7:F7=O21)*(G7="×"))+SUMPRODUCT((H7:I7=O21)*(J7="×"))+SUMPRODUCT((K7:L7=O21)*(M7="×"))+SUMPRODUCT((N7:O7=O21)*(P7="×"))+SUMPRODUCT((B9:C9=O21)*(D9="×"))+SUMPRODUCT((E9:F9=O21)*(G9="×"))+SUMPRODUCT((H9:I9=O21)*(J9="×"))+SUMPRODUCT((K9:L9=O21)*(M9="×"))+SUMPRODUCT((N9:O9=O21)*(P9="×"))+SUMPRODUCT((B11:C11=O21)*(D11="×"))+SUMPRODUCT((E11:F11=O21)*(G11="×"))+SUMPRODUCT((H11:I11=O21)*(J11="×"))+SUMPRODUCT((K11:L11=O21)*(M11="×"))+SUMPRODUCT((N11:O11=O21)*(P11="×"))+SUMPRODUCT((B13:C13=O21)*(D13="×"))+SUMPRODUCT((E13:F13=O21)*(G13="×"))+SUMPRODUCT((H13:I13=O21)*(J13="×"))+SUMPRODUCT((K13:L13=O21)*(M13="×"))+SUMPRODUCT((N13:O13=O21)*(P13="×"))+SUMPRODUCT((B15:C15=O21)*(D15="×"))+SUMPRODUCT((E15:F15=O21)*(G15="×"))+SUMPRODUCT((H15:I15=O21)*(J15="×"))+SUMPRODUCT((K15:L15=O21)*(M15="×"))+SUMPRODUCT((N15:O15=O21)*(P15="×"))+SUMPRODUCT((B17:C17=O21)*(D17="×"))+SUMPRODUCT((E17:F17=O21)*(G17="×"))+SUMPRODUCT((H17:I17=O21)*(J17="×"))+SUMPRODUCT((K17:L17=O21)*(M17="×"))+SUMPRODUCT((N17:O17=O21)*(P17="×"))))</f>
        <v/>
      </c>
      <c r="P23" s="20">
        <f>IF(SUM(B23:O23)=0,"",SUM(B23:O23))</f>
        <v/>
      </c>
    </row>
    <row r="24" spans="1:16" ht="13.5" customHeight="1" x14ac:dyDescent="0.2">
      <c r="A24" s="36"/>
      <c r="B24" s="21">
        <f>IF(B21="","",IF(COUNTIF(B5:C5,B21)+COUNTIF(B5:C5,"*,"&amp;B21&amp;",*")+COUNTIF(E5:F5,B21)+COUNTIF(E5:F5,"*,"&amp;B21&amp;",*")+COUNTIF(H5:I5,B21)+COUNTIF(H5:I5,"*,"&amp;B21&amp;",*")+COUNTIF(K5:L5,B21)+COUNTIF(K5:L5,"*,"&amp;B21&amp;",*")+COUNTIF(N5:O5,B21)+COUNTIF(N5:O5,"*,"&amp;B21&amp;",*")+COUNTIF(B7:C7,B21)+COUNTIF(B7:C7,"*,"&amp;B21&amp;",*")+COUNTIF(E7:F7,B21)+COUNTIF(E7:F7,"*,"&amp;B21&amp;",*")+COUNTIF(H7:I7,B21)+COUNTIF(H7:I7,"*,"&amp;B21&amp;",*")+COUNTIF(K7:L7,B21)+COUNTIF(K7:L7,"*,"&amp;B21&amp;",*")+COUNTIF(N7:O7,B21)+COUNTIF(N7:O7,"*,"&amp;B21&amp;",*")+COUNTIF(B9:C9,B21)+COUNTIF(B9:C9,"*,"&amp;B21&amp;",*")+COUNTIF(E9:F9,B21)+COUNTIF(E9:F9,"*,"&amp;B21&amp;",*")+COUNTIF(H9:I9,B21)+COUNTIF(H9:I9,"*,"&amp;B21&amp;",*")+COUNTIF(K9:L9,B21)+COUNTIF(K9:L9,"*,"&amp;B21&amp;",*")+COUNTIF(N9:O9,B21)+COUNTIF(N9:O9,"*,"&amp;B21&amp;",*")+COUNTIF(B11:C11,B21)+COUNTIF(B11:C11,"*,"&amp;B21&amp;",*")+COUNTIF(E11:F11,B21)+COUNTIF(E11:F11,"*,"&amp;B21&amp;",*")+COUNTIF(H11:I11,B21)+COUNTIF(H11:I11,"*,"&amp;B21&amp;",*")+COUNTIF(K11:L11,B21)+COUNTIF(K11:L11,"*,"&amp;B21&amp;",*")+COUNTIF(N11:O11,B21)+COUNTIF(N11:O11,"*,"&amp;B21&amp;",*")+COUNTIF(B13:C13,B21)+COUNTIF(B13:C13,"*,"&amp;B21&amp;",*")+COUNTIF(E13:F13,B21)+COUNTIF(E13:F13,"*,"&amp;B21&amp;",*")+COUNTIF(H13:I13,B21)+COUNTIF(H13:I13,"*,"&amp;B21&amp;",*")+COUNTIF(K13:L13,B21)+COUNTIF(K13:L13,"*,"&amp;B21&amp;",*")+COUNTIF(N13:O13,B21)+COUNTIF(N13:O13,"*,"&amp;B21&amp;",*")+COUNTIF(B15:C15,B21)+COUNTIF(B15:C15,"*,"&amp;B21&amp;",*")+COUNTIF(E15:F15,B21)+COUNTIF(E15:F15,"*,"&amp;B21&amp;",*")+COUNTIF(H15:I15,B21)+COUNTIF(H15:I15,"*,"&amp;B21&amp;",*")+COUNTIF(K15:L15,B21)+COUNTIF(K15:L15,"*,"&amp;B21&amp;",*")+COUNTIF(N15:O15,B21)+COUNTIF(N15:O15,"*,"&amp;B21&amp;",*")+COUNTIF(B17:C17,B21)+COUNTIF(B17:C17,"*,"&amp;B21&amp;",*")+COUNTIF(E17:F17,B21)+COUNTIF(E17:F17,"*,"&amp;B21&amp;",*")+COUNTIF(H17:I17,B21)+COUNTIF(H17:I17,"*,"&amp;B21&amp;",*")+COUNTIF(K17:L17,B21)+COUNTIF(K17:L17,"*,"&amp;B21&amp;",*")+COUNTIF(N17:O17,B21)+COUNTIF(N17:O17,"*,"&amp;B21&amp;",*")=0,"",COUNTIF(B5:C5,B21)+COUNTIF(B5:C5,"*,"&amp;B21&amp;",*")+COUNTIF(E5:F5,B21)+COUNTIF(E5:F5,"*,"&amp;B21&amp;",*")+COUNTIF(H5:I5,B21)+COUNTIF(H5:I5,"*,"&amp;B21&amp;",*")+COUNTIF(K5:L5,B21)+COUNTIF(K5:L5,"*,"&amp;B21&amp;",*")+COUNTIF(N5:O5,B21)+COUNTIF(N5:O5,"*,"&amp;B21&amp;",*")+COUNTIF(B7:C7,B21)+COUNTIF(B7:C7,"*,"&amp;B21&amp;",*")+COUNTIF(E7:F7,B21)+COUNTIF(E7:F7,"*,"&amp;B21&amp;",*")+COUNTIF(H7:I7,B21)+COUNTIF(H7:I7,"*,"&amp;B21&amp;",*")+COUNTIF(K7:L7,B21)+COUNTIF(K7:L7,"*,"&amp;B21&amp;",*")+COUNTIF(N7:O7,B21)+COUNTIF(N7:O7,"*,"&amp;B21&amp;",*")+COUNTIF(B9:C9,B21)+COUNTIF(B9:C9,"*,"&amp;B21&amp;",*")+COUNTIF(E9:F9,B21)+COUNTIF(E9:F9,"*,"&amp;B21&amp;",*")+COUNTIF(H9:I9,B21)+COUNTIF(H9:I9,"*,"&amp;B21&amp;",*")+COUNTIF(K9:L9,B21)+COUNTIF(K9:L9,"*,"&amp;B21&amp;",*")+COUNTIF(N9:O9,B21)+COUNTIF(N9:O9,"*,"&amp;B21&amp;",*")+COUNTIF(B11:C11,B21)+COUNTIF(B11:C11,"*,"&amp;B21&amp;",*")+COUNTIF(E11:F11,B21)+COUNTIF(E11:F11,"*,"&amp;B21&amp;",*")+COUNTIF(H11:I11,B21)+COUNTIF(H11:I11,"*,"&amp;B21&amp;",*")+COUNTIF(K11:L11,B21)+COUNTIF(K11:L11,"*,"&amp;B21&amp;",*")+COUNTIF(N11:O11,B21)+COUNTIF(N11:O11,"*,"&amp;B21&amp;",*")+COUNTIF(B13:C13,B21)+COUNTIF(B13:C13,"*,"&amp;B21&amp;",*")+COUNTIF(E13:F13,B21)+COUNTIF(E13:F13,"*,"&amp;B21&amp;",*")+COUNTIF(H13:I13,B21)+COUNTIF(H13:I13,"*,"&amp;B21&amp;",*")+COUNTIF(K13:L13,B21)+COUNTIF(K13:L13,"*,"&amp;B21&amp;",*")+COUNTIF(N13:O13,B21)+COUNTIF(N13:O13,"*,"&amp;B21&amp;",*")+COUNTIF(B15:C15,B21)+COUNTIF(B15:C15,"*,"&amp;B21&amp;",*")+COUNTIF(E15:F15,B21)+COUNTIF(E15:F15,"*,"&amp;B21&amp;",*")+COUNTIF(H15:I15,B21)+COUNTIF(H15:I15,"*,"&amp;B21&amp;",*")+COUNTIF(K15:L15,B21)+COUNTIF(K15:L15,"*,"&amp;B21&amp;",*")+COUNTIF(N15:O15,B21)+COUNTIF(N15:O15,"*,"&amp;B21&amp;",*")+COUNTIF(B17:C17,B21)+COUNTIF(B17:C17,"*,"&amp;B21&amp;",*")+COUNTIF(E17:F17,B21)+COUNTIF(E17:F17,"*,"&amp;B21&amp;",*")+COUNTIF(H17:I17,B21)+COUNTIF(H17:I17,"*,"&amp;B21&amp;",*")+COUNTIF(K17:L17,B21)+COUNTIF(K17:L17,"*,"&amp;B21&amp;",*")+COUNTIF(N17:O17,B21)+COUNTIF(N17:O17,"*,"&amp;B21&amp;",*")))</f>
        <v/>
      </c>
      <c r="C24" s="21">
        <f>IF(C21="","",IF(COUNTIF(B5:C5,C21)+COUNTIF(B5:C5,"*,"&amp;C21&amp;",*")+COUNTIF(E5:F5,C21)+COUNTIF(E5:F5,"*,"&amp;C21&amp;",*")+COUNTIF(H5:I5,C21)+COUNTIF(H5:I5,"*,"&amp;C21&amp;",*")+COUNTIF(K5:L5,C21)+COUNTIF(K5:L5,"*,"&amp;C21&amp;",*")+COUNTIF(N5:O5,C21)+COUNTIF(N5:O5,"*,"&amp;C21&amp;",*")+COUNTIF(B7:C7,C21)+COUNTIF(B7:C7,"*,"&amp;C21&amp;",*")+COUNTIF(E7:F7,C21)+COUNTIF(E7:F7,"*,"&amp;C21&amp;",*")+COUNTIF(H7:I7,C21)+COUNTIF(H7:I7,"*,"&amp;C21&amp;",*")+COUNTIF(K7:L7,C21)+COUNTIF(K7:L7,"*,"&amp;C21&amp;",*")+COUNTIF(N7:O7,C21)+COUNTIF(N7:O7,"*,"&amp;C21&amp;",*")+COUNTIF(B9:C9,C21)+COUNTIF(B9:C9,"*,"&amp;C21&amp;",*")+COUNTIF(E9:F9,C21)+COUNTIF(E9:F9,"*,"&amp;C21&amp;",*")+COUNTIF(H9:I9,C21)+COUNTIF(H9:I9,"*,"&amp;C21&amp;",*")+COUNTIF(K9:L9,C21)+COUNTIF(K9:L9,"*,"&amp;C21&amp;",*")+COUNTIF(N9:O9,C21)+COUNTIF(N9:O9,"*,"&amp;C21&amp;",*")+COUNTIF(B11:C11,C21)+COUNTIF(B11:C11,"*,"&amp;C21&amp;",*")+COUNTIF(E11:F11,C21)+COUNTIF(E11:F11,"*,"&amp;C21&amp;",*")+COUNTIF(H11:I11,C21)+COUNTIF(H11:I11,"*,"&amp;C21&amp;",*")+COUNTIF(K11:L11,C21)+COUNTIF(K11:L11,"*,"&amp;C21&amp;",*")+COUNTIF(N11:O11,C21)+COUNTIF(N11:O11,"*,"&amp;C21&amp;",*")+COUNTIF(B13:C13,C21)+COUNTIF(B13:C13,"*,"&amp;C21&amp;",*")+COUNTIF(E13:F13,C21)+COUNTIF(E13:F13,"*,"&amp;C21&amp;",*")+COUNTIF(H13:I13,C21)+COUNTIF(H13:I13,"*,"&amp;C21&amp;",*")+COUNTIF(K13:L13,C21)+COUNTIF(K13:L13,"*,"&amp;C21&amp;",*")+COUNTIF(N13:O13,C21)+COUNTIF(N13:O13,"*,"&amp;C21&amp;",*")+COUNTIF(B15:C15,C21)+COUNTIF(B15:C15,"*,"&amp;C21&amp;",*")+COUNTIF(E15:F15,C21)+COUNTIF(E15:F15,"*,"&amp;C21&amp;",*")+COUNTIF(H15:I15,C21)+COUNTIF(H15:I15,"*,"&amp;C21&amp;",*")+COUNTIF(K15:L15,C21)+COUNTIF(K15:L15,"*,"&amp;C21&amp;",*")+COUNTIF(N15:O15,C21)+COUNTIF(N15:O15,"*,"&amp;C21&amp;",*")+COUNTIF(B17:C17,C21)+COUNTIF(B17:C17,"*,"&amp;C21&amp;",*")+COUNTIF(E17:F17,C21)+COUNTIF(E17:F17,"*,"&amp;C21&amp;",*")+COUNTIF(H17:I17,C21)+COUNTIF(H17:I17,"*,"&amp;C21&amp;",*")+COUNTIF(K17:L17,C21)+COUNTIF(K17:L17,"*,"&amp;C21&amp;",*")+COUNTIF(N17:O17,C21)+COUNTIF(N17:O17,"*,"&amp;C21&amp;",*")=0,"",COUNTIF(B5:C5,C21)+COUNTIF(B5:C5,"*,"&amp;C21&amp;",*")+COUNTIF(E5:F5,C21)+COUNTIF(E5:F5,"*,"&amp;C21&amp;",*")+COUNTIF(H5:I5,C21)+COUNTIF(H5:I5,"*,"&amp;C21&amp;",*")+COUNTIF(K5:L5,C21)+COUNTIF(K5:L5,"*,"&amp;C21&amp;",*")+COUNTIF(N5:O5,C21)+COUNTIF(N5:O5,"*,"&amp;C21&amp;",*")+COUNTIF(B7:C7,C21)+COUNTIF(B7:C7,"*,"&amp;C21&amp;",*")+COUNTIF(E7:F7,C21)+COUNTIF(E7:F7,"*,"&amp;C21&amp;",*")+COUNTIF(H7:I7,C21)+COUNTIF(H7:I7,"*,"&amp;C21&amp;",*")+COUNTIF(K7:L7,C21)+COUNTIF(K7:L7,"*,"&amp;C21&amp;",*")+COUNTIF(N7:O7,C21)+COUNTIF(N7:O7,"*,"&amp;C21&amp;",*")+COUNTIF(B9:C9,C21)+COUNTIF(B9:C9,"*,"&amp;C21&amp;",*")+COUNTIF(E9:F9,C21)+COUNTIF(E9:F9,"*,"&amp;C21&amp;",*")+COUNTIF(H9:I9,C21)+COUNTIF(H9:I9,"*,"&amp;C21&amp;",*")+COUNTIF(K9:L9,C21)+COUNTIF(K9:L9,"*,"&amp;C21&amp;",*")+COUNTIF(N9:O9,C21)+COUNTIF(N9:O9,"*,"&amp;C21&amp;",*")+COUNTIF(B11:C11,C21)+COUNTIF(B11:C11,"*,"&amp;C21&amp;",*")+COUNTIF(E11:F11,C21)+COUNTIF(E11:F11,"*,"&amp;C21&amp;",*")+COUNTIF(H11:I11,C21)+COUNTIF(H11:I11,"*,"&amp;C21&amp;",*")+COUNTIF(K11:L11,C21)+COUNTIF(K11:L11,"*,"&amp;C21&amp;",*")+COUNTIF(N11:O11,C21)+COUNTIF(N11:O11,"*,"&amp;C21&amp;",*")+COUNTIF(B13:C13,C21)+COUNTIF(B13:C13,"*,"&amp;C21&amp;",*")+COUNTIF(E13:F13,C21)+COUNTIF(E13:F13,"*,"&amp;C21&amp;",*")+COUNTIF(H13:I13,C21)+COUNTIF(H13:I13,"*,"&amp;C21&amp;",*")+COUNTIF(K13:L13,C21)+COUNTIF(K13:L13,"*,"&amp;C21&amp;",*")+COUNTIF(N13:O13,C21)+COUNTIF(N13:O13,"*,"&amp;C21&amp;",*")+COUNTIF(B15:C15,C21)+COUNTIF(B15:C15,"*,"&amp;C21&amp;",*")+COUNTIF(E15:F15,C21)+COUNTIF(E15:F15,"*,"&amp;C21&amp;",*")+COUNTIF(H15:I15,C21)+COUNTIF(H15:I15,"*,"&amp;C21&amp;",*")+COUNTIF(K15:L15,C21)+COUNTIF(K15:L15,"*,"&amp;C21&amp;",*")+COUNTIF(N15:O15,C21)+COUNTIF(N15:O15,"*,"&amp;C21&amp;",*")+COUNTIF(B17:C17,C21)+COUNTIF(B17:C17,"*,"&amp;C21&amp;",*")+COUNTIF(E17:F17,C21)+COUNTIF(E17:F17,"*,"&amp;C21&amp;",*")+COUNTIF(H17:I17,C21)+COUNTIF(H17:I17,"*,"&amp;C21&amp;",*")+COUNTIF(K17:L17,C21)+COUNTIF(K17:L17,"*,"&amp;C21&amp;",*")+COUNTIF(N17:O17,C21)+COUNTIF(N17:O17,"*,"&amp;C21&amp;",*")))</f>
        <v/>
      </c>
      <c r="D24" s="21">
        <f>IF(D21="","",IF(COUNTIF(B5:C5,D21)+COUNTIF(B5:C5,"*,"&amp;D21&amp;",*")+COUNTIF(E5:F5,D21)+COUNTIF(E5:F5,"*,"&amp;D21&amp;",*")+COUNTIF(H5:I5,D21)+COUNTIF(H5:I5,"*,"&amp;D21&amp;",*")+COUNTIF(K5:L5,D21)+COUNTIF(K5:L5,"*,"&amp;D21&amp;",*")+COUNTIF(N5:O5,D21)+COUNTIF(N5:O5,"*,"&amp;D21&amp;",*")+COUNTIF(B7:C7,D21)+COUNTIF(B7:C7,"*,"&amp;D21&amp;",*")+COUNTIF(E7:F7,D21)+COUNTIF(E7:F7,"*,"&amp;D21&amp;",*")+COUNTIF(H7:I7,D21)+COUNTIF(H7:I7,"*,"&amp;D21&amp;",*")+COUNTIF(K7:L7,D21)+COUNTIF(K7:L7,"*,"&amp;D21&amp;",*")+COUNTIF(N7:O7,D21)+COUNTIF(N7:O7,"*,"&amp;D21&amp;",*")+COUNTIF(B9:C9,D21)+COUNTIF(B9:C9,"*,"&amp;D21&amp;",*")+COUNTIF(E9:F9,D21)+COUNTIF(E9:F9,"*,"&amp;D21&amp;",*")+COUNTIF(H9:I9,D21)+COUNTIF(H9:I9,"*,"&amp;D21&amp;",*")+COUNTIF(K9:L9,D21)+COUNTIF(K9:L9,"*,"&amp;D21&amp;",*")+COUNTIF(N9:O9,D21)+COUNTIF(N9:O9,"*,"&amp;D21&amp;",*")+COUNTIF(B11:C11,D21)+COUNTIF(B11:C11,"*,"&amp;D21&amp;",*")+COUNTIF(E11:F11,D21)+COUNTIF(E11:F11,"*,"&amp;D21&amp;",*")+COUNTIF(H11:I11,D21)+COUNTIF(H11:I11,"*,"&amp;D21&amp;",*")+COUNTIF(K11:L11,D21)+COUNTIF(K11:L11,"*,"&amp;D21&amp;",*")+COUNTIF(N11:O11,D21)+COUNTIF(N11:O11,"*,"&amp;D21&amp;",*")+COUNTIF(B13:C13,D21)+COUNTIF(B13:C13,"*,"&amp;D21&amp;",*")+COUNTIF(E13:F13,D21)+COUNTIF(E13:F13,"*,"&amp;D21&amp;",*")+COUNTIF(H13:I13,D21)+COUNTIF(H13:I13,"*,"&amp;D21&amp;",*")+COUNTIF(K13:L13,D21)+COUNTIF(K13:L13,"*,"&amp;D21&amp;",*")+COUNTIF(N13:O13,D21)+COUNTIF(N13:O13,"*,"&amp;D21&amp;",*")+COUNTIF(B15:C15,D21)+COUNTIF(B15:C15,"*,"&amp;D21&amp;",*")+COUNTIF(E15:F15,D21)+COUNTIF(E15:F15,"*,"&amp;D21&amp;",*")+COUNTIF(H15:I15,D21)+COUNTIF(H15:I15,"*,"&amp;D21&amp;",*")+COUNTIF(K15:L15,D21)+COUNTIF(K15:L15,"*,"&amp;D21&amp;",*")+COUNTIF(N15:O15,D21)+COUNTIF(N15:O15,"*,"&amp;D21&amp;",*")+COUNTIF(B17:C17,D21)+COUNTIF(B17:C17,"*,"&amp;D21&amp;",*")+COUNTIF(E17:F17,D21)+COUNTIF(E17:F17,"*,"&amp;D21&amp;",*")+COUNTIF(H17:I17,D21)+COUNTIF(H17:I17,"*,"&amp;D21&amp;",*")+COUNTIF(K17:L17,D21)+COUNTIF(K17:L17,"*,"&amp;D21&amp;",*")+COUNTIF(N17:O17,D21)+COUNTIF(N17:O17,"*,"&amp;D21&amp;",*")=0,"",COUNTIF(B5:C5,D21)+COUNTIF(B5:C5,"*,"&amp;D21&amp;",*")+COUNTIF(E5:F5,D21)+COUNTIF(E5:F5,"*,"&amp;D21&amp;",*")+COUNTIF(H5:I5,D21)+COUNTIF(H5:I5,"*,"&amp;D21&amp;",*")+COUNTIF(K5:L5,D21)+COUNTIF(K5:L5,"*,"&amp;D21&amp;",*")+COUNTIF(N5:O5,D21)+COUNTIF(N5:O5,"*,"&amp;D21&amp;",*")+COUNTIF(B7:C7,D21)+COUNTIF(B7:C7,"*,"&amp;D21&amp;",*")+COUNTIF(E7:F7,D21)+COUNTIF(E7:F7,"*,"&amp;D21&amp;",*")+COUNTIF(H7:I7,D21)+COUNTIF(H7:I7,"*,"&amp;D21&amp;",*")+COUNTIF(K7:L7,D21)+COUNTIF(K7:L7,"*,"&amp;D21&amp;",*")+COUNTIF(N7:O7,D21)+COUNTIF(N7:O7,"*,"&amp;D21&amp;",*")+COUNTIF(B9:C9,D21)+COUNTIF(B9:C9,"*,"&amp;D21&amp;",*")+COUNTIF(E9:F9,D21)+COUNTIF(E9:F9,"*,"&amp;D21&amp;",*")+COUNTIF(H9:I9,D21)+COUNTIF(H9:I9,"*,"&amp;D21&amp;",*")+COUNTIF(K9:L9,D21)+COUNTIF(K9:L9,"*,"&amp;D21&amp;",*")+COUNTIF(N9:O9,D21)+COUNTIF(N9:O9,"*,"&amp;D21&amp;",*")+COUNTIF(B11:C11,D21)+COUNTIF(B11:C11,"*,"&amp;D21&amp;",*")+COUNTIF(E11:F11,D21)+COUNTIF(E11:F11,"*,"&amp;D21&amp;",*")+COUNTIF(H11:I11,D21)+COUNTIF(H11:I11,"*,"&amp;D21&amp;",*")+COUNTIF(K11:L11,D21)+COUNTIF(K11:L11,"*,"&amp;D21&amp;",*")+COUNTIF(N11:O11,D21)+COUNTIF(N11:O11,"*,"&amp;D21&amp;",*")+COUNTIF(B13:C13,D21)+COUNTIF(B13:C13,"*,"&amp;D21&amp;",*")+COUNTIF(E13:F13,D21)+COUNTIF(E13:F13,"*,"&amp;D21&amp;",*")+COUNTIF(H13:I13,D21)+COUNTIF(H13:I13,"*,"&amp;D21&amp;",*")+COUNTIF(K13:L13,D21)+COUNTIF(K13:L13,"*,"&amp;D21&amp;",*")+COUNTIF(N13:O13,D21)+COUNTIF(N13:O13,"*,"&amp;D21&amp;",*")+COUNTIF(B15:C15,D21)+COUNTIF(B15:C15,"*,"&amp;D21&amp;",*")+COUNTIF(E15:F15,D21)+COUNTIF(E15:F15,"*,"&amp;D21&amp;",*")+COUNTIF(H15:I15,D21)+COUNTIF(H15:I15,"*,"&amp;D21&amp;",*")+COUNTIF(K15:L15,D21)+COUNTIF(K15:L15,"*,"&amp;D21&amp;",*")+COUNTIF(N15:O15,D21)+COUNTIF(N15:O15,"*,"&amp;D21&amp;",*")+COUNTIF(B17:C17,D21)+COUNTIF(B17:C17,"*,"&amp;D21&amp;",*")+COUNTIF(E17:F17,D21)+COUNTIF(E17:F17,"*,"&amp;D21&amp;",*")+COUNTIF(H17:I17,D21)+COUNTIF(H17:I17,"*,"&amp;D21&amp;",*")+COUNTIF(K17:L17,D21)+COUNTIF(K17:L17,"*,"&amp;D21&amp;",*")+COUNTIF(N17:O17,D21)+COUNTIF(N17:O17,"*,"&amp;D21&amp;",*")))</f>
        <v/>
      </c>
      <c r="E24" s="21">
        <f>IF(E21="","",IF(COUNTIF(B5:C5,E21)+COUNTIF(B5:C5,"*,"&amp;E21&amp;",*")+COUNTIF(E5:F5,E21)+COUNTIF(E5:F5,"*,"&amp;E21&amp;",*")+COUNTIF(H5:I5,E21)+COUNTIF(H5:I5,"*,"&amp;E21&amp;",*")+COUNTIF(K5:L5,E21)+COUNTIF(K5:L5,"*,"&amp;E21&amp;",*")+COUNTIF(N5:O5,E21)+COUNTIF(N5:O5,"*,"&amp;E21&amp;",*")+COUNTIF(B7:C7,E21)+COUNTIF(B7:C7,"*,"&amp;E21&amp;",*")+COUNTIF(E7:F7,E21)+COUNTIF(E7:F7,"*,"&amp;E21&amp;",*")+COUNTIF(H7:I7,E21)+COUNTIF(H7:I7,"*,"&amp;E21&amp;",*")+COUNTIF(K7:L7,E21)+COUNTIF(K7:L7,"*,"&amp;E21&amp;",*")+COUNTIF(N7:O7,E21)+COUNTIF(N7:O7,"*,"&amp;E21&amp;",*")+COUNTIF(B9:C9,E21)+COUNTIF(B9:C9,"*,"&amp;E21&amp;",*")+COUNTIF(E9:F9,E21)+COUNTIF(E9:F9,"*,"&amp;E21&amp;",*")+COUNTIF(H9:I9,E21)+COUNTIF(H9:I9,"*,"&amp;E21&amp;",*")+COUNTIF(K9:L9,E21)+COUNTIF(K9:L9,"*,"&amp;E21&amp;",*")+COUNTIF(N9:O9,E21)+COUNTIF(N9:O9,"*,"&amp;E21&amp;",*")+COUNTIF(B11:C11,E21)+COUNTIF(B11:C11,"*,"&amp;E21&amp;",*")+COUNTIF(E11:F11,E21)+COUNTIF(E11:F11,"*,"&amp;E21&amp;",*")+COUNTIF(H11:I11,E21)+COUNTIF(H11:I11,"*,"&amp;E21&amp;",*")+COUNTIF(K11:L11,E21)+COUNTIF(K11:L11,"*,"&amp;E21&amp;",*")+COUNTIF(N11:O11,E21)+COUNTIF(N11:O11,"*,"&amp;E21&amp;",*")+COUNTIF(B13:C13,E21)+COUNTIF(B13:C13,"*,"&amp;E21&amp;",*")+COUNTIF(E13:F13,E21)+COUNTIF(E13:F13,"*,"&amp;E21&amp;",*")+COUNTIF(H13:I13,E21)+COUNTIF(H13:I13,"*,"&amp;E21&amp;",*")+COUNTIF(K13:L13,E21)+COUNTIF(K13:L13,"*,"&amp;E21&amp;",*")+COUNTIF(N13:O13,E21)+COUNTIF(N13:O13,"*,"&amp;E21&amp;",*")+COUNTIF(B15:C15,E21)+COUNTIF(B15:C15,"*,"&amp;E21&amp;",*")+COUNTIF(E15:F15,E21)+COUNTIF(E15:F15,"*,"&amp;E21&amp;",*")+COUNTIF(H15:I15,E21)+COUNTIF(H15:I15,"*,"&amp;E21&amp;",*")+COUNTIF(K15:L15,E21)+COUNTIF(K15:L15,"*,"&amp;E21&amp;",*")+COUNTIF(N15:O15,E21)+COUNTIF(N15:O15,"*,"&amp;E21&amp;",*")+COUNTIF(B17:C17,E21)+COUNTIF(B17:C17,"*,"&amp;E21&amp;",*")+COUNTIF(E17:F17,E21)+COUNTIF(E17:F17,"*,"&amp;E21&amp;",*")+COUNTIF(H17:I17,E21)+COUNTIF(H17:I17,"*,"&amp;E21&amp;",*")+COUNTIF(K17:L17,E21)+COUNTIF(K17:L17,"*,"&amp;E21&amp;",*")+COUNTIF(N17:O17,E21)+COUNTIF(N17:O17,"*,"&amp;E21&amp;",*")=0,"",COUNTIF(B5:C5,E21)+COUNTIF(B5:C5,"*,"&amp;E21&amp;",*")+COUNTIF(E5:F5,E21)+COUNTIF(E5:F5,"*,"&amp;E21&amp;",*")+COUNTIF(H5:I5,E21)+COUNTIF(H5:I5,"*,"&amp;E21&amp;",*")+COUNTIF(K5:L5,E21)+COUNTIF(K5:L5,"*,"&amp;E21&amp;",*")+COUNTIF(N5:O5,E21)+COUNTIF(N5:O5,"*,"&amp;E21&amp;",*")+COUNTIF(B7:C7,E21)+COUNTIF(B7:C7,"*,"&amp;E21&amp;",*")+COUNTIF(E7:F7,E21)+COUNTIF(E7:F7,"*,"&amp;E21&amp;",*")+COUNTIF(H7:I7,E21)+COUNTIF(H7:I7,"*,"&amp;E21&amp;",*")+COUNTIF(K7:L7,E21)+COUNTIF(K7:L7,"*,"&amp;E21&amp;",*")+COUNTIF(N7:O7,E21)+COUNTIF(N7:O7,"*,"&amp;E21&amp;",*")+COUNTIF(B9:C9,E21)+COUNTIF(B9:C9,"*,"&amp;E21&amp;",*")+COUNTIF(E9:F9,E21)+COUNTIF(E9:F9,"*,"&amp;E21&amp;",*")+COUNTIF(H9:I9,E21)+COUNTIF(H9:I9,"*,"&amp;E21&amp;",*")+COUNTIF(K9:L9,E21)+COUNTIF(K9:L9,"*,"&amp;E21&amp;",*")+COUNTIF(N9:O9,E21)+COUNTIF(N9:O9,"*,"&amp;E21&amp;",*")+COUNTIF(B11:C11,E21)+COUNTIF(B11:C11,"*,"&amp;E21&amp;",*")+COUNTIF(E11:F11,E21)+COUNTIF(E11:F11,"*,"&amp;E21&amp;",*")+COUNTIF(H11:I11,E21)+COUNTIF(H11:I11,"*,"&amp;E21&amp;",*")+COUNTIF(K11:L11,E21)+COUNTIF(K11:L11,"*,"&amp;E21&amp;",*")+COUNTIF(N11:O11,E21)+COUNTIF(N11:O11,"*,"&amp;E21&amp;",*")+COUNTIF(B13:C13,E21)+COUNTIF(B13:C13,"*,"&amp;E21&amp;",*")+COUNTIF(E13:F13,E21)+COUNTIF(E13:F13,"*,"&amp;E21&amp;",*")+COUNTIF(H13:I13,E21)+COUNTIF(H13:I13,"*,"&amp;E21&amp;",*")+COUNTIF(K13:L13,E21)+COUNTIF(K13:L13,"*,"&amp;E21&amp;",*")+COUNTIF(N13:O13,E21)+COUNTIF(N13:O13,"*,"&amp;E21&amp;",*")+COUNTIF(B15:C15,E21)+COUNTIF(B15:C15,"*,"&amp;E21&amp;",*")+COUNTIF(E15:F15,E21)+COUNTIF(E15:F15,"*,"&amp;E21&amp;",*")+COUNTIF(H15:I15,E21)+COUNTIF(H15:I15,"*,"&amp;E21&amp;",*")+COUNTIF(K15:L15,E21)+COUNTIF(K15:L15,"*,"&amp;E21&amp;",*")+COUNTIF(N15:O15,E21)+COUNTIF(N15:O15,"*,"&amp;E21&amp;",*")+COUNTIF(B17:C17,E21)+COUNTIF(B17:C17,"*,"&amp;E21&amp;",*")+COUNTIF(E17:F17,E21)+COUNTIF(E17:F17,"*,"&amp;E21&amp;",*")+COUNTIF(H17:I17,E21)+COUNTIF(H17:I17,"*,"&amp;E21&amp;",*")+COUNTIF(K17:L17,E21)+COUNTIF(K17:L17,"*,"&amp;E21&amp;",*")+COUNTIF(N17:O17,E21)+COUNTIF(N17:O17,"*,"&amp;E21&amp;",*")))</f>
        <v/>
      </c>
      <c r="F24" s="21">
        <f>IF(F21="","",IF(COUNTIF(B5:C5,F21)+COUNTIF(B5:C5,"*,"&amp;F21&amp;",*")+COUNTIF(E5:F5,F21)+COUNTIF(E5:F5,"*,"&amp;F21&amp;",*")+COUNTIF(H5:I5,F21)+COUNTIF(H5:I5,"*,"&amp;F21&amp;",*")+COUNTIF(K5:L5,F21)+COUNTIF(K5:L5,"*,"&amp;F21&amp;",*")+COUNTIF(N5:O5,F21)+COUNTIF(N5:O5,"*,"&amp;F21&amp;",*")+COUNTIF(B7:C7,F21)+COUNTIF(B7:C7,"*,"&amp;F21&amp;",*")+COUNTIF(E7:F7,F21)+COUNTIF(E7:F7,"*,"&amp;F21&amp;",*")+COUNTIF(H7:I7,F21)+COUNTIF(H7:I7,"*,"&amp;F21&amp;",*")+COUNTIF(K7:L7,F21)+COUNTIF(K7:L7,"*,"&amp;F21&amp;",*")+COUNTIF(N7:O7,F21)+COUNTIF(N7:O7,"*,"&amp;F21&amp;",*")+COUNTIF(B9:C9,F21)+COUNTIF(B9:C9,"*,"&amp;F21&amp;",*")+COUNTIF(E9:F9,F21)+COUNTIF(E9:F9,"*,"&amp;F21&amp;",*")+COUNTIF(H9:I9,F21)+COUNTIF(H9:I9,"*,"&amp;F21&amp;",*")+COUNTIF(K9:L9,F21)+COUNTIF(K9:L9,"*,"&amp;F21&amp;",*")+COUNTIF(N9:O9,F21)+COUNTIF(N9:O9,"*,"&amp;F21&amp;",*")+COUNTIF(B11:C11,F21)+COUNTIF(B11:C11,"*,"&amp;F21&amp;",*")+COUNTIF(E11:F11,F21)+COUNTIF(E11:F11,"*,"&amp;F21&amp;",*")+COUNTIF(H11:I11,F21)+COUNTIF(H11:I11,"*,"&amp;F21&amp;",*")+COUNTIF(K11:L11,F21)+COUNTIF(K11:L11,"*,"&amp;F21&amp;",*")+COUNTIF(N11:O11,F21)+COUNTIF(N11:O11,"*,"&amp;F21&amp;",*")+COUNTIF(B13:C13,F21)+COUNTIF(B13:C13,"*,"&amp;F21&amp;",*")+COUNTIF(E13:F13,F21)+COUNTIF(E13:F13,"*,"&amp;F21&amp;",*")+COUNTIF(H13:I13,F21)+COUNTIF(H13:I13,"*,"&amp;F21&amp;",*")+COUNTIF(K13:L13,F21)+COUNTIF(K13:L13,"*,"&amp;F21&amp;",*")+COUNTIF(N13:O13,F21)+COUNTIF(N13:O13,"*,"&amp;F21&amp;",*")+COUNTIF(B15:C15,F21)+COUNTIF(B15:C15,"*,"&amp;F21&amp;",*")+COUNTIF(E15:F15,F21)+COUNTIF(E15:F15,"*,"&amp;F21&amp;",*")+COUNTIF(H15:I15,F21)+COUNTIF(H15:I15,"*,"&amp;F21&amp;",*")+COUNTIF(K15:L15,F21)+COUNTIF(K15:L15,"*,"&amp;F21&amp;",*")+COUNTIF(N15:O15,F21)+COUNTIF(N15:O15,"*,"&amp;F21&amp;",*")+COUNTIF(B17:C17,F21)+COUNTIF(B17:C17,"*,"&amp;F21&amp;",*")+COUNTIF(E17:F17,F21)+COUNTIF(E17:F17,"*,"&amp;F21&amp;",*")+COUNTIF(H17:I17,F21)+COUNTIF(H17:I17,"*,"&amp;F21&amp;",*")+COUNTIF(K17:L17,F21)+COUNTIF(K17:L17,"*,"&amp;F21&amp;",*")+COUNTIF(N17:O17,F21)+COUNTIF(N17:O17,"*,"&amp;F21&amp;",*")=0,"",COUNTIF(B5:C5,F21)+COUNTIF(B5:C5,"*,"&amp;F21&amp;",*")+COUNTIF(E5:F5,F21)+COUNTIF(E5:F5,"*,"&amp;F21&amp;",*")+COUNTIF(H5:I5,F21)+COUNTIF(H5:I5,"*,"&amp;F21&amp;",*")+COUNTIF(K5:L5,F21)+COUNTIF(K5:L5,"*,"&amp;F21&amp;",*")+COUNTIF(N5:O5,F21)+COUNTIF(N5:O5,"*,"&amp;F21&amp;",*")+COUNTIF(B7:C7,F21)+COUNTIF(B7:C7,"*,"&amp;F21&amp;",*")+COUNTIF(E7:F7,F21)+COUNTIF(E7:F7,"*,"&amp;F21&amp;",*")+COUNTIF(H7:I7,F21)+COUNTIF(H7:I7,"*,"&amp;F21&amp;",*")+COUNTIF(K7:L7,F21)+COUNTIF(K7:L7,"*,"&amp;F21&amp;",*")+COUNTIF(N7:O7,F21)+COUNTIF(N7:O7,"*,"&amp;F21&amp;",*")+COUNTIF(B9:C9,F21)+COUNTIF(B9:C9,"*,"&amp;F21&amp;",*")+COUNTIF(E9:F9,F21)+COUNTIF(E9:F9,"*,"&amp;F21&amp;",*")+COUNTIF(H9:I9,F21)+COUNTIF(H9:I9,"*,"&amp;F21&amp;",*")+COUNTIF(K9:L9,F21)+COUNTIF(K9:L9,"*,"&amp;F21&amp;",*")+COUNTIF(N9:O9,F21)+COUNTIF(N9:O9,"*,"&amp;F21&amp;",*")+COUNTIF(B11:C11,F21)+COUNTIF(B11:C11,"*,"&amp;F21&amp;",*")+COUNTIF(E11:F11,F21)+COUNTIF(E11:F11,"*,"&amp;F21&amp;",*")+COUNTIF(H11:I11,F21)+COUNTIF(H11:I11,"*,"&amp;F21&amp;",*")+COUNTIF(K11:L11,F21)+COUNTIF(K11:L11,"*,"&amp;F21&amp;",*")+COUNTIF(N11:O11,F21)+COUNTIF(N11:O11,"*,"&amp;F21&amp;",*")+COUNTIF(B13:C13,F21)+COUNTIF(B13:C13,"*,"&amp;F21&amp;",*")+COUNTIF(E13:F13,F21)+COUNTIF(E13:F13,"*,"&amp;F21&amp;",*")+COUNTIF(H13:I13,F21)+COUNTIF(H13:I13,"*,"&amp;F21&amp;",*")+COUNTIF(K13:L13,F21)+COUNTIF(K13:L13,"*,"&amp;F21&amp;",*")+COUNTIF(N13:O13,F21)+COUNTIF(N13:O13,"*,"&amp;F21&amp;",*")+COUNTIF(B15:C15,F21)+COUNTIF(B15:C15,"*,"&amp;F21&amp;",*")+COUNTIF(E15:F15,F21)+COUNTIF(E15:F15,"*,"&amp;F21&amp;",*")+COUNTIF(H15:I15,F21)+COUNTIF(H15:I15,"*,"&amp;F21&amp;",*")+COUNTIF(K15:L15,F21)+COUNTIF(K15:L15,"*,"&amp;F21&amp;",*")+COUNTIF(N15:O15,F21)+COUNTIF(N15:O15,"*,"&amp;F21&amp;",*")+COUNTIF(B17:C17,F21)+COUNTIF(B17:C17,"*,"&amp;F21&amp;",*")+COUNTIF(E17:F17,F21)+COUNTIF(E17:F17,"*,"&amp;F21&amp;",*")+COUNTIF(H17:I17,F21)+COUNTIF(H17:I17,"*,"&amp;F21&amp;",*")+COUNTIF(K17:L17,F21)+COUNTIF(K17:L17,"*,"&amp;F21&amp;",*")+COUNTIF(N17:O17,F21)+COUNTIF(N17:O17,"*,"&amp;F21&amp;",*")))</f>
        <v/>
      </c>
      <c r="G24" s="21">
        <f>IF(G21="","",IF(COUNTIF(B5:C5,G21)+COUNTIF(B5:C5,"*,"&amp;G21&amp;",*")+COUNTIF(E5:F5,G21)+COUNTIF(E5:F5,"*,"&amp;G21&amp;",*")+COUNTIF(H5:I5,G21)+COUNTIF(H5:I5,"*,"&amp;G21&amp;",*")+COUNTIF(K5:L5,G21)+COUNTIF(K5:L5,"*,"&amp;G21&amp;",*")+COUNTIF(N5:O5,G21)+COUNTIF(N5:O5,"*,"&amp;G21&amp;",*")+COUNTIF(B7:C7,G21)+COUNTIF(B7:C7,"*,"&amp;G21&amp;",*")+COUNTIF(E7:F7,G21)+COUNTIF(E7:F7,"*,"&amp;G21&amp;",*")+COUNTIF(H7:I7,G21)+COUNTIF(H7:I7,"*,"&amp;G21&amp;",*")+COUNTIF(K7:L7,G21)+COUNTIF(K7:L7,"*,"&amp;G21&amp;",*")+COUNTIF(N7:O7,G21)+COUNTIF(N7:O7,"*,"&amp;G21&amp;",*")+COUNTIF(B9:C9,G21)+COUNTIF(B9:C9,"*,"&amp;G21&amp;",*")+COUNTIF(E9:F9,G21)+COUNTIF(E9:F9,"*,"&amp;G21&amp;",*")+COUNTIF(H9:I9,G21)+COUNTIF(H9:I9,"*,"&amp;G21&amp;",*")+COUNTIF(K9:L9,G21)+COUNTIF(K9:L9,"*,"&amp;G21&amp;",*")+COUNTIF(N9:O9,G21)+COUNTIF(N9:O9,"*,"&amp;G21&amp;",*")+COUNTIF(B11:C11,G21)+COUNTIF(B11:C11,"*,"&amp;G21&amp;",*")+COUNTIF(E11:F11,G21)+COUNTIF(E11:F11,"*,"&amp;G21&amp;",*")+COUNTIF(H11:I11,G21)+COUNTIF(H11:I11,"*,"&amp;G21&amp;",*")+COUNTIF(K11:L11,G21)+COUNTIF(K11:L11,"*,"&amp;G21&amp;",*")+COUNTIF(N11:O11,G21)+COUNTIF(N11:O11,"*,"&amp;G21&amp;",*")+COUNTIF(B13:C13,G21)+COUNTIF(B13:C13,"*,"&amp;G21&amp;",*")+COUNTIF(E13:F13,G21)+COUNTIF(E13:F13,"*,"&amp;G21&amp;",*")+COUNTIF(H13:I13,G21)+COUNTIF(H13:I13,"*,"&amp;G21&amp;",*")+COUNTIF(K13:L13,G21)+COUNTIF(K13:L13,"*,"&amp;G21&amp;",*")+COUNTIF(N13:O13,G21)+COUNTIF(N13:O13,"*,"&amp;G21&amp;",*")+COUNTIF(B15:C15,G21)+COUNTIF(B15:C15,"*,"&amp;G21&amp;",*")+COUNTIF(E15:F15,G21)+COUNTIF(E15:F15,"*,"&amp;G21&amp;",*")+COUNTIF(H15:I15,G21)+COUNTIF(H15:I15,"*,"&amp;G21&amp;",*")+COUNTIF(K15:L15,G21)+COUNTIF(K15:L15,"*,"&amp;G21&amp;",*")+COUNTIF(N15:O15,G21)+COUNTIF(N15:O15,"*,"&amp;G21&amp;",*")+COUNTIF(B17:C17,G21)+COUNTIF(B17:C17,"*,"&amp;G21&amp;",*")+COUNTIF(E17:F17,G21)+COUNTIF(E17:F17,"*,"&amp;G21&amp;",*")+COUNTIF(H17:I17,G21)+COUNTIF(H17:I17,"*,"&amp;G21&amp;",*")+COUNTIF(K17:L17,G21)+COUNTIF(K17:L17,"*,"&amp;G21&amp;",*")+COUNTIF(N17:O17,G21)+COUNTIF(N17:O17,"*,"&amp;G21&amp;",*")=0,"",COUNTIF(B5:C5,G21)+COUNTIF(B5:C5,"*,"&amp;G21&amp;",*")+COUNTIF(E5:F5,G21)+COUNTIF(E5:F5,"*,"&amp;G21&amp;",*")+COUNTIF(H5:I5,G21)+COUNTIF(H5:I5,"*,"&amp;G21&amp;",*")+COUNTIF(K5:L5,G21)+COUNTIF(K5:L5,"*,"&amp;G21&amp;",*")+COUNTIF(N5:O5,G21)+COUNTIF(N5:O5,"*,"&amp;G21&amp;",*")+COUNTIF(B7:C7,G21)+COUNTIF(B7:C7,"*,"&amp;G21&amp;",*")+COUNTIF(E7:F7,G21)+COUNTIF(E7:F7,"*,"&amp;G21&amp;",*")+COUNTIF(H7:I7,G21)+COUNTIF(H7:I7,"*,"&amp;G21&amp;",*")+COUNTIF(K7:L7,G21)+COUNTIF(K7:L7,"*,"&amp;G21&amp;",*")+COUNTIF(N7:O7,G21)+COUNTIF(N7:O7,"*,"&amp;G21&amp;",*")+COUNTIF(B9:C9,G21)+COUNTIF(B9:C9,"*,"&amp;G21&amp;",*")+COUNTIF(E9:F9,G21)+COUNTIF(E9:F9,"*,"&amp;G21&amp;",*")+COUNTIF(H9:I9,G21)+COUNTIF(H9:I9,"*,"&amp;G21&amp;",*")+COUNTIF(K9:L9,G21)+COUNTIF(K9:L9,"*,"&amp;G21&amp;",*")+COUNTIF(N9:O9,G21)+COUNTIF(N9:O9,"*,"&amp;G21&amp;",*")+COUNTIF(B11:C11,G21)+COUNTIF(B11:C11,"*,"&amp;G21&amp;",*")+COUNTIF(E11:F11,G21)+COUNTIF(E11:F11,"*,"&amp;G21&amp;",*")+COUNTIF(H11:I11,G21)+COUNTIF(H11:I11,"*,"&amp;G21&amp;",*")+COUNTIF(K11:L11,G21)+COUNTIF(K11:L11,"*,"&amp;G21&amp;",*")+COUNTIF(N11:O11,G21)+COUNTIF(N11:O11,"*,"&amp;G21&amp;",*")+COUNTIF(B13:C13,G21)+COUNTIF(B13:C13,"*,"&amp;G21&amp;",*")+COUNTIF(E13:F13,G21)+COUNTIF(E13:F13,"*,"&amp;G21&amp;",*")+COUNTIF(H13:I13,G21)+COUNTIF(H13:I13,"*,"&amp;G21&amp;",*")+COUNTIF(K13:L13,G21)+COUNTIF(K13:L13,"*,"&amp;G21&amp;",*")+COUNTIF(N13:O13,G21)+COUNTIF(N13:O13,"*,"&amp;G21&amp;",*")+COUNTIF(B15:C15,G21)+COUNTIF(B15:C15,"*,"&amp;G21&amp;",*")+COUNTIF(E15:F15,G21)+COUNTIF(E15:F15,"*,"&amp;G21&amp;",*")+COUNTIF(H15:I15,G21)+COUNTIF(H15:I15,"*,"&amp;G21&amp;",*")+COUNTIF(K15:L15,G21)+COUNTIF(K15:L15,"*,"&amp;G21&amp;",*")+COUNTIF(N15:O15,G21)+COUNTIF(N15:O15,"*,"&amp;G21&amp;",*")+COUNTIF(B17:C17,G21)+COUNTIF(B17:C17,"*,"&amp;G21&amp;",*")+COUNTIF(E17:F17,G21)+COUNTIF(E17:F17,"*,"&amp;G21&amp;",*")+COUNTIF(H17:I17,G21)+COUNTIF(H17:I17,"*,"&amp;G21&amp;",*")+COUNTIF(K17:L17,G21)+COUNTIF(K17:L17,"*,"&amp;G21&amp;",*")+COUNTIF(N17:O17,G21)+COUNTIF(N17:O17,"*,"&amp;G21&amp;",*")))</f>
        <v/>
      </c>
      <c r="H24" s="21"/>
      <c r="I24" s="21"/>
      <c r="J24" s="21"/>
      <c r="K24" s="21"/>
      <c r="L24" s="21"/>
      <c r="M24" s="21">
        <f>IF(COUNTIF(B5:C5,"特活")+COUNTIF(B5:C5,"学活")+COUNTIF(E5:F5,"特活")+COUNTIF(E5:F5,"学活")+COUNTIF(H5:I5,"特活")+COUNTIF(H5:I5,"学活")+COUNTIF(K5:L5,"特活")+COUNTIF(K5:L5,"学活")+COUNTIF(N5:O5,"特活")+COUNTIF(N5:O5,"学活")+COUNTIF(B7:C7,"特活")+COUNTIF(B7:C7,"学活")+COUNTIF(E7:F7,"特活")+COUNTIF(E7:F7,"学活")+COUNTIF(H7:I7,"特活")+COUNTIF(H7:I7,"学活")+COUNTIF(K7:L7,"特活")+COUNTIF(K7:L7,"学活")+COUNTIF(N7:O7,"特活")+COUNTIF(N7:O7,"学活")+COUNTIF(B9:C9,"特活")+COUNTIF(B9:C9,"学活")+COUNTIF(E9:F9,"特活")+COUNTIF(E9:F9,"学活")+COUNTIF(H9:I9,"特活")+COUNTIF(H9:I9,"学活")+COUNTIF(K9:L9,"特活")+COUNTIF(K9:L9,"学活")+COUNTIF(N9:O9,"特活")+COUNTIF(N9:O9,"学活")+COUNTIF(B11:C11,"特活")+COUNTIF(B11:C11,"学活")+COUNTIF(E11:F11,"特活")+COUNTIF(E11:F11,"学活")+COUNTIF(H11:I11,"特活")+COUNTIF(H11:I11,"学活")+COUNTIF(K11:L11,"特活")+COUNTIF(K11:L11,"学活")+COUNTIF(N11:O11,"特活")+COUNTIF(N11:O11,"学活")+COUNTIF(B13:C13,"特活")+COUNTIF(B13:C13,"学活")+COUNTIF(E13:F13,"特活")+COUNTIF(E13:F13,"学活")+COUNTIF(H13:I13,"特活")+COUNTIF(H13:I13,"学活")+COUNTIF(K13:L13,"特活")+COUNTIF(K13:L13,"学活")+COUNTIF(N13:O13,"特活")+COUNTIF(N13:O13,"学活")+COUNTIF(B15:C15,"特活")+COUNTIF(B15:C15,"学活")+COUNTIF(E15:F15,"特活")+COUNTIF(E15:F15,"学活")+COUNTIF(H15:I15,"特活")+COUNTIF(H15:I15,"学活")+COUNTIF(K15:L15,"特活")+COUNTIF(K15:L15,"学活")+COUNTIF(N15:O15,"特活")+COUNTIF(N15:O15,"学活")+COUNTIF(B17:C17,"特活")+COUNTIF(B17:C17,"学活")+COUNTIF(E17:F17,"特活")+COUNTIF(E17:F17,"学活")+COUNTIF(H17:I17,"特活")+COUNTIF(H17:I17,"学活")+COUNTIF(K17:L17,"特活")+COUNTIF(K17:L17,"学活")+COUNTIF(N17:O17,"特活")+COUNTIF(N17:O17,"学活")=0,"",COUNTIF(B5:C5,"特活")+COUNTIF(B5:C5,"学活")+COUNTIF(E5:F5,"特活")+COUNTIF(E5:F5,"学活")+COUNTIF(H5:I5,"特活")+COUNTIF(H5:I5,"学活")+COUNTIF(K5:L5,"特活")+COUNTIF(K5:L5,"学活")+COUNTIF(N5:O5,"特活")+COUNTIF(N5:O5,"学活")+COUNTIF(B7:C7,"特活")+COUNTIF(B7:C7,"学活")+COUNTIF(E7:F7,"特活")+COUNTIF(E7:F7,"学活")+COUNTIF(H7:I7,"特活")+COUNTIF(H7:I7,"学活")+COUNTIF(K7:L7,"特活")+COUNTIF(K7:L7,"学活")+COUNTIF(N7:O7,"特活")+COUNTIF(N7:O7,"学活")+COUNTIF(B9:C9,"特活")+COUNTIF(B9:C9,"学活")+COUNTIF(E9:F9,"特活")+COUNTIF(E9:F9,"学活")+COUNTIF(H9:I9,"特活")+COUNTIF(H9:I9,"学活")+COUNTIF(K9:L9,"特活")+COUNTIF(K9:L9,"学活")+COUNTIF(N9:O9,"特活")+COUNTIF(N9:O9,"学活")+COUNTIF(B11:C11,"特活")+COUNTIF(B11:C11,"学活")+COUNTIF(E11:F11,"特活")+COUNTIF(E11:F11,"学活")+COUNTIF(H11:I11,"特活")+COUNTIF(H11:I11,"学活")+COUNTIF(K11:L11,"特活")+COUNTIF(K11:L11,"学活")+COUNTIF(N11:O11,"特活")+COUNTIF(N11:O11,"学活")+COUNTIF(B13:C13,"特活")+COUNTIF(B13:C13,"学活")+COUNTIF(E13:F13,"特活")+COUNTIF(E13:F13,"学活")+COUNTIF(H13:I13,"特活")+COUNTIF(H13:I13,"学活")+COUNTIF(K13:L13,"特活")+COUNTIF(K13:L13,"学活")+COUNTIF(N13:O13,"特活")+COUNTIF(N13:O13,"学活")+COUNTIF(B15:C15,"特活")+COUNTIF(B15:C15,"学活")+COUNTIF(E15:F15,"特活")+COUNTIF(E15:F15,"学活")+COUNTIF(H15:I15,"特活")+COUNTIF(H15:I15,"学活")+COUNTIF(K15:L15,"特活")+COUNTIF(K15:L15,"学活")+COUNTIF(N15:O15,"特活")+COUNTIF(N15:O15,"学活")+COUNTIF(B17:C17,"特活")+COUNTIF(B17:C17,"学活")+COUNTIF(E17:F17,"特活")+COUNTIF(E17:F17,"学活")+COUNTIF(H17:I17,"特活")+COUNTIF(H17:I17,"学活")+COUNTIF(K17:L17,"特活")+COUNTIF(K17:L17,"学活")+COUNTIF(N17:O17,"特活")+COUNTIF(N17:O17,"学活"))</f>
        <v/>
      </c>
      <c r="N24" s="21">
        <f>IF(COUNTIF(B5:C5,N21)+COUNTIF(B5:C5,"*,"&amp;N21&amp;",*")+COUNTIF(E5:F5,N21)+COUNTIF(E5:F5,"*,"&amp;N21&amp;",*")+COUNTIF(H5:I5,N21)+COUNTIF(H5:I5,"*,"&amp;N21&amp;",*")+COUNTIF(K5:L5,N21)+COUNTIF(K5:L5,"*,"&amp;N21&amp;",*")+COUNTIF(N5:O5,N21)+COUNTIF(N5:O5,"*,"&amp;N21&amp;",*")+COUNTIF(B7:C7,N21)+COUNTIF(B7:C7,"*,"&amp;N21&amp;",*")+COUNTIF(E7:F7,N21)+COUNTIF(E7:F7,"*,"&amp;N21&amp;",*")+COUNTIF(H7:I7,N21)+COUNTIF(H7:I7,"*,"&amp;N21&amp;",*")+COUNTIF(K7:L7,N21)+COUNTIF(K7:L7,"*,"&amp;N21&amp;",*")+COUNTIF(N7:O7,N21)+COUNTIF(N7:O7,"*,"&amp;N21&amp;",*")+COUNTIF(B9:C9,N21)+COUNTIF(B9:C9,"*,"&amp;N21&amp;",*")+COUNTIF(E9:F9,N21)+COUNTIF(E9:F9,"*,"&amp;N21&amp;",*")+COUNTIF(H9:I9,N21)+COUNTIF(H9:I9,"*,"&amp;N21&amp;",*")+COUNTIF(K9:L9,N21)+COUNTIF(K9:L9,"*,"&amp;N21&amp;",*")+COUNTIF(N9:O9,N21)+COUNTIF(N9:O9,"*,"&amp;N21&amp;",*")+COUNTIF(B11:C11,N21)+COUNTIF(B11:C11,"*,"&amp;N21&amp;",*")+COUNTIF(E11:F11,N21)+COUNTIF(E11:F11,"*,"&amp;N21&amp;",*")+COUNTIF(H11:I11,N21)+COUNTIF(H11:I11,"*,"&amp;N21&amp;",*")+COUNTIF(K11:L11,N21)+COUNTIF(K11:L11,"*,"&amp;N21&amp;",*")+COUNTIF(N11:O11,N21)+COUNTIF(N11:O11,"*,"&amp;N21&amp;",*")+COUNTIF(B13:C13,N21)+COUNTIF(B13:C13,"*,"&amp;N21&amp;",*")+COUNTIF(E13:F13,N21)+COUNTIF(E13:F13,"*,"&amp;N21&amp;",*")+COUNTIF(H13:I13,N21)+COUNTIF(H13:I13,"*,"&amp;N21&amp;",*")+COUNTIF(K13:L13,N21)+COUNTIF(K13:L13,"*,"&amp;N21&amp;",*")+COUNTIF(N13:O13,N21)+COUNTIF(N13:O13,"*,"&amp;N21&amp;",*")+COUNTIF(B15:C15,N21)+COUNTIF(B15:C15,"*,"&amp;N21&amp;",*")+COUNTIF(E15:F15,N21)+COUNTIF(E15:F15,"*,"&amp;N21&amp;",*")+COUNTIF(H15:I15,N21)+COUNTIF(H15:I15,"*,"&amp;N21&amp;",*")+COUNTIF(K15:L15,N21)+COUNTIF(K15:L15,"*,"&amp;N21&amp;",*")+COUNTIF(N15:O15,N21)+COUNTIF(N15:O15,"*,"&amp;N21&amp;",*")+COUNTIF(B17:C17,N21)+COUNTIF(B17:C17,"*,"&amp;N21&amp;",*")+COUNTIF(E17:F17,N21)+COUNTIF(E17:F17,"*,"&amp;N21&amp;",*")+COUNTIF(H17:I17,N21)+COUNTIF(H17:I17,"*,"&amp;N21&amp;",*")+COUNTIF(K17:L17,N21)+COUNTIF(K17:L17,"*,"&amp;N21&amp;",*")+COUNTIF(N17:O17,N21)+COUNTIF(N17:O17,"*,"&amp;N21&amp;",*")=0,"",COUNTIF(B5:C5,N21)+COUNTIF(B5:C5,"*,"&amp;N21&amp;",*")+COUNTIF(E5:F5,N21)+COUNTIF(E5:F5,"*,"&amp;N21&amp;",*")+COUNTIF(H5:I5,N21)+COUNTIF(H5:I5,"*,"&amp;N21&amp;",*")+COUNTIF(K5:L5,N21)+COUNTIF(K5:L5,"*,"&amp;N21&amp;",*")+COUNTIF(N5:O5,N21)+COUNTIF(N5:O5,"*,"&amp;N21&amp;",*")+COUNTIF(B7:C7,N21)+COUNTIF(B7:C7,"*,"&amp;N21&amp;",*")+COUNTIF(E7:F7,N21)+COUNTIF(E7:F7,"*,"&amp;N21&amp;",*")+COUNTIF(H7:I7,N21)+COUNTIF(H7:I7,"*,"&amp;N21&amp;",*")+COUNTIF(K7:L7,N21)+COUNTIF(K7:L7,"*,"&amp;N21&amp;",*")+COUNTIF(N7:O7,N21)+COUNTIF(N7:O7,"*,"&amp;N21&amp;",*")+COUNTIF(B9:C9,N21)+COUNTIF(B9:C9,"*,"&amp;N21&amp;",*")+COUNTIF(E9:F9,N21)+COUNTIF(E9:F9,"*,"&amp;N21&amp;",*")+COUNTIF(H9:I9,N21)+COUNTIF(H9:I9,"*,"&amp;N21&amp;",*")+COUNTIF(K9:L9,N21)+COUNTIF(K9:L9,"*,"&amp;N21&amp;",*")+COUNTIF(N9:O9,N21)+COUNTIF(N9:O9,"*,"&amp;N21&amp;",*")+COUNTIF(B11:C11,N21)+COUNTIF(B11:C11,"*,"&amp;N21&amp;",*")+COUNTIF(E11:F11,N21)+COUNTIF(E11:F11,"*,"&amp;N21&amp;",*")+COUNTIF(H11:I11,N21)+COUNTIF(H11:I11,"*,"&amp;N21&amp;",*")+COUNTIF(K11:L11,N21)+COUNTIF(K11:L11,"*,"&amp;N21&amp;",*")+COUNTIF(N11:O11,N21)+COUNTIF(N11:O11,"*,"&amp;N21&amp;",*")+COUNTIF(B13:C13,N21)+COUNTIF(B13:C13,"*,"&amp;N21&amp;",*")+COUNTIF(E13:F13,N21)+COUNTIF(E13:F13,"*,"&amp;N21&amp;",*")+COUNTIF(H13:I13,N21)+COUNTIF(H13:I13,"*,"&amp;N21&amp;",*")+COUNTIF(K13:L13,N21)+COUNTIF(K13:L13,"*,"&amp;N21&amp;",*")+COUNTIF(N13:O13,N21)+COUNTIF(N13:O13,"*,"&amp;N21&amp;",*")+COUNTIF(B15:C15,N21)+COUNTIF(B15:C15,"*,"&amp;N21&amp;",*")+COUNTIF(E15:F15,N21)+COUNTIF(E15:F15,"*,"&amp;N21&amp;",*")+COUNTIF(H15:I15,N21)+COUNTIF(H15:I15,"*,"&amp;N21&amp;",*")+COUNTIF(K15:L15,N21)+COUNTIF(K15:L15,"*,"&amp;N21&amp;",*")+COUNTIF(N15:O15,N21)+COUNTIF(N15:O15,"*,"&amp;N21&amp;",*")+COUNTIF(B17:C17,N21)+COUNTIF(B17:C17,"*,"&amp;N21&amp;",*")+COUNTIF(E17:F17,N21)+COUNTIF(E17:F17,"*,"&amp;N21&amp;",*")+COUNTIF(H17:I17,N21)+COUNTIF(H17:I17,"*,"&amp;N21&amp;",*")+COUNTIF(K17:L17,N21)+COUNTIF(K17:L17,"*,"&amp;N21&amp;",*")+COUNTIF(N17:O17,N21)+COUNTIF(N17:O17,"*,"&amp;N21&amp;",*"))</f>
        <v/>
      </c>
      <c r="O24" s="21">
        <f>IF(COUNTIF(B5:C5,O21)+COUNTIF(B5:C5,"*,"&amp;O21&amp;",*")+COUNTIF(E5:F5,O21)+COUNTIF(E5:F5,"*,"&amp;O21&amp;",*")+COUNTIF(H5:I5,O21)+COUNTIF(H5:I5,"*,"&amp;O21&amp;",*")+COUNTIF(K5:L5,O21)+COUNTIF(K5:L5,"*,"&amp;O21&amp;",*")+COUNTIF(N5:O5,O21)+COUNTIF(N5:O5,"*,"&amp;O21&amp;",*")+COUNTIF(B7:C7,O21)+COUNTIF(B7:C7,"*,"&amp;O21&amp;",*")+COUNTIF(E7:F7,O21)+COUNTIF(E7:F7,"*,"&amp;O21&amp;",*")+COUNTIF(H7:I7,O21)+COUNTIF(H7:I7,"*,"&amp;O21&amp;",*")+COUNTIF(K7:L7,O21)+COUNTIF(K7:L7,"*,"&amp;O21&amp;",*")+COUNTIF(N7:O7,O21)+COUNTIF(N7:O7,"*,"&amp;O21&amp;",*")+COUNTIF(B9:C9,O21)+COUNTIF(B9:C9,"*,"&amp;O21&amp;",*")+COUNTIF(E9:F9,O21)+COUNTIF(E9:F9,"*,"&amp;O21&amp;",*")+COUNTIF(H9:I9,O21)+COUNTIF(H9:I9,"*,"&amp;O21&amp;",*")+COUNTIF(K9:L9,O21)+COUNTIF(K9:L9,"*,"&amp;O21&amp;",*")+COUNTIF(N9:O9,O21)+COUNTIF(N9:O9,"*,"&amp;O21&amp;",*")+COUNTIF(B11:C11,O21)+COUNTIF(B11:C11,"*,"&amp;O21&amp;",*")+COUNTIF(E11:F11,O21)+COUNTIF(E11:F11,"*,"&amp;O21&amp;",*")+COUNTIF(H11:I11,O21)+COUNTIF(H11:I11,"*,"&amp;O21&amp;",*")+COUNTIF(K11:L11,O21)+COUNTIF(K11:L11,"*,"&amp;O21&amp;",*")+COUNTIF(N11:O11,O21)+COUNTIF(N11:O11,"*,"&amp;O21&amp;",*")+COUNTIF(B13:C13,O21)+COUNTIF(B13:C13,"*,"&amp;O21&amp;",*")+COUNTIF(E13:F13,O21)+COUNTIF(E13:F13,"*,"&amp;O21&amp;",*")+COUNTIF(H13:I13,O21)+COUNTIF(H13:I13,"*,"&amp;O21&amp;",*")+COUNTIF(K13:L13,O21)+COUNTIF(K13:L13,"*,"&amp;O21&amp;",*")+COUNTIF(N13:O13,O21)+COUNTIF(N13:O13,"*,"&amp;O21&amp;",*")+COUNTIF(B15:C15,O21)+COUNTIF(B15:C15,"*,"&amp;O21&amp;",*")+COUNTIF(E15:F15,O21)+COUNTIF(E15:F15,"*,"&amp;O21&amp;",*")+COUNTIF(H15:I15,O21)+COUNTIF(H15:I15,"*,"&amp;O21&amp;",*")+COUNTIF(K15:L15,O21)+COUNTIF(K15:L15,"*,"&amp;O21&amp;",*")+COUNTIF(N15:O15,O21)+COUNTIF(N15:O15,"*,"&amp;O21&amp;",*")+COUNTIF(B17:C17,O21)+COUNTIF(B17:C17,"*,"&amp;O21&amp;",*")+COUNTIF(E17:F17,O21)+COUNTIF(E17:F17,"*,"&amp;O21&amp;",*")+COUNTIF(H17:I17,O21)+COUNTIF(H17:I17,"*,"&amp;O21&amp;",*")+COUNTIF(K17:L17,O21)+COUNTIF(K17:L17,"*,"&amp;O21&amp;",*")+COUNTIF(N17:O17,O21)+COUNTIF(N17:O17,"*,"&amp;O21&amp;",*")=0,"",COUNTIF(B5:C5,O21)+COUNTIF(B5:C5,"*,"&amp;O21&amp;",*")+COUNTIF(E5:F5,O21)+COUNTIF(E5:F5,"*,"&amp;O21&amp;",*")+COUNTIF(H5:I5,O21)+COUNTIF(H5:I5,"*,"&amp;O21&amp;",*")+COUNTIF(K5:L5,O21)+COUNTIF(K5:L5,"*,"&amp;O21&amp;",*")+COUNTIF(N5:O5,O21)+COUNTIF(N5:O5,"*,"&amp;O21&amp;",*")+COUNTIF(B7:C7,O21)+COUNTIF(B7:C7,"*,"&amp;O21&amp;",*")+COUNTIF(E7:F7,O21)+COUNTIF(E7:F7,"*,"&amp;O21&amp;",*")+COUNTIF(H7:I7,O21)+COUNTIF(H7:I7,"*,"&amp;O21&amp;",*")+COUNTIF(K7:L7,O21)+COUNTIF(K7:L7,"*,"&amp;O21&amp;",*")+COUNTIF(N7:O7,O21)+COUNTIF(N7:O7,"*,"&amp;O21&amp;",*")+COUNTIF(B9:C9,O21)+COUNTIF(B9:C9,"*,"&amp;O21&amp;",*")+COUNTIF(E9:F9,O21)+COUNTIF(E9:F9,"*,"&amp;O21&amp;",*")+COUNTIF(H9:I9,O21)+COUNTIF(H9:I9,"*,"&amp;O21&amp;",*")+COUNTIF(K9:L9,O21)+COUNTIF(K9:L9,"*,"&amp;O21&amp;",*")+COUNTIF(N9:O9,O21)+COUNTIF(N9:O9,"*,"&amp;O21&amp;",*")+COUNTIF(B11:C11,O21)+COUNTIF(B11:C11,"*,"&amp;O21&amp;",*")+COUNTIF(E11:F11,O21)+COUNTIF(E11:F11,"*,"&amp;O21&amp;",*")+COUNTIF(H11:I11,O21)+COUNTIF(H11:I11,"*,"&amp;O21&amp;",*")+COUNTIF(K11:L11,O21)+COUNTIF(K11:L11,"*,"&amp;O21&amp;",*")+COUNTIF(N11:O11,O21)+COUNTIF(N11:O11,"*,"&amp;O21&amp;",*")+COUNTIF(B13:C13,O21)+COUNTIF(B13:C13,"*,"&amp;O21&amp;",*")+COUNTIF(E13:F13,O21)+COUNTIF(E13:F13,"*,"&amp;O21&amp;",*")+COUNTIF(H13:I13,O21)+COUNTIF(H13:I13,"*,"&amp;O21&amp;",*")+COUNTIF(K13:L13,O21)+COUNTIF(K13:L13,"*,"&amp;O21&amp;",*")+COUNTIF(N13:O13,O21)+COUNTIF(N13:O13,"*,"&amp;O21&amp;",*")+COUNTIF(B15:C15,O21)+COUNTIF(B15:C15,"*,"&amp;O21&amp;",*")+COUNTIF(E15:F15,O21)+COUNTIF(E15:F15,"*,"&amp;O21&amp;",*")+COUNTIF(H15:I15,O21)+COUNTIF(H15:I15,"*,"&amp;O21&amp;",*")+COUNTIF(K15:L15,O21)+COUNTIF(K15:L15,"*,"&amp;O21&amp;",*")+COUNTIF(N15:O15,O21)+COUNTIF(N15:O15,"*,"&amp;O21&amp;",*")+COUNTIF(B17:C17,O21)+COUNTIF(B17:C17,"*,"&amp;O21&amp;",*")+COUNTIF(E17:F17,O21)+COUNTIF(E17:F17,"*,"&amp;O21&amp;",*")+COUNTIF(H17:I17,O21)+COUNTIF(H17:I17,"*,"&amp;O21&amp;",*")+COUNTIF(K17:L17,O21)+COUNTIF(K17:L17,"*,"&amp;O21&amp;",*")+COUNTIF(N17:O17,O21)+COUNTIF(N17:O17,"*,"&amp;O21&amp;",*"))</f>
        <v/>
      </c>
      <c r="P24" s="22">
        <f>IF(SUM(B24:O24)=0,"",SUM(B24:O24))</f>
        <v/>
      </c>
    </row>
    <row r="25" spans="1:16" ht="13.5" customHeight="1" x14ac:dyDescent="0.2">
      <c r="A25" s="23" t="s">
        <v>52</v>
      </c>
      <c r="B25" s="26"/>
      <c r="C25" s="26"/>
      <c r="D25" s="26"/>
      <c r="E25" s="26"/>
      <c r="F25" s="26"/>
      <c r="G25" s="26"/>
      <c r="H25" s="26"/>
      <c r="I25" s="26"/>
      <c r="J25" s="26"/>
      <c r="K25" s="26"/>
      <c r="L25" s="26"/>
      <c r="M25" s="26"/>
      <c r="N25" s="26"/>
      <c r="O25" s="24"/>
      <c r="P25" s="18">
        <f>IF(SUM(B25:O25)=0,"",SUM(B25:O25))</f>
        <v/>
      </c>
    </row>
  </sheetData>
  <sheetProtection sheet="1" objects="1" scenarios="1"/>
  <mergeCells count="104">
    <mergeCell ref="N19:P19"/>
    <mergeCell ref="A23:A24"/>
    <mergeCell ref="N17:O17"/>
    <mergeCell ref="B18:D18"/>
    <mergeCell ref="E18:G18"/>
    <mergeCell ref="H18:J18"/>
    <mergeCell ref="K18:M18"/>
    <mergeCell ref="N18:P18"/>
    <mergeCell ref="A17:A18"/>
    <mergeCell ref="B17:C17"/>
    <mergeCell ref="E17:F17"/>
    <mergeCell ref="H17:I17"/>
    <mergeCell ref="K17:L17"/>
    <mergeCell ref="B19:D19"/>
    <mergeCell ref="E19:G19"/>
    <mergeCell ref="H19:J19"/>
    <mergeCell ref="K19:M19"/>
    <mergeCell ref="A15:A16"/>
    <mergeCell ref="B15:C15"/>
    <mergeCell ref="E15:F15"/>
    <mergeCell ref="H15:I15"/>
    <mergeCell ref="K15:L15"/>
    <mergeCell ref="N15:O15"/>
    <mergeCell ref="B16:D16"/>
    <mergeCell ref="E16:G16"/>
    <mergeCell ref="H16:J16"/>
    <mergeCell ref="K16:M16"/>
    <mergeCell ref="N16:P16"/>
    <mergeCell ref="A13:A14"/>
    <mergeCell ref="B13:C13"/>
    <mergeCell ref="E13:F13"/>
    <mergeCell ref="H13:I13"/>
    <mergeCell ref="K13:L13"/>
    <mergeCell ref="N13:O13"/>
    <mergeCell ref="B14:D14"/>
    <mergeCell ref="E14:G14"/>
    <mergeCell ref="H14:J14"/>
    <mergeCell ref="K14:M14"/>
    <mergeCell ref="N14:P14"/>
    <mergeCell ref="A11:A12"/>
    <mergeCell ref="B11:C11"/>
    <mergeCell ref="E11:F11"/>
    <mergeCell ref="H11:I11"/>
    <mergeCell ref="K11:L11"/>
    <mergeCell ref="N11:O11"/>
    <mergeCell ref="B12:D12"/>
    <mergeCell ref="E12:G12"/>
    <mergeCell ref="H12:J12"/>
    <mergeCell ref="K12:M12"/>
    <mergeCell ref="N12:P12"/>
    <mergeCell ref="N8:P8"/>
    <mergeCell ref="A9:A10"/>
    <mergeCell ref="B9:C9"/>
    <mergeCell ref="E9:F9"/>
    <mergeCell ref="H9:I9"/>
    <mergeCell ref="K9:L9"/>
    <mergeCell ref="N9:O9"/>
    <mergeCell ref="B10:D10"/>
    <mergeCell ref="E10:G10"/>
    <mergeCell ref="H10:J10"/>
    <mergeCell ref="A7:A8"/>
    <mergeCell ref="B7:C7"/>
    <mergeCell ref="E7:F7"/>
    <mergeCell ref="H7:I7"/>
    <mergeCell ref="K7:L7"/>
    <mergeCell ref="N7:O7"/>
    <mergeCell ref="B8:D8"/>
    <mergeCell ref="E8:G8"/>
    <mergeCell ref="H8:J8"/>
    <mergeCell ref="K8:M8"/>
    <mergeCell ref="K10:M10"/>
    <mergeCell ref="N10:P10"/>
    <mergeCell ref="A5:A6"/>
    <mergeCell ref="B5:C5"/>
    <mergeCell ref="E5:F5"/>
    <mergeCell ref="H5:I5"/>
    <mergeCell ref="K5:L5"/>
    <mergeCell ref="N2:P2"/>
    <mergeCell ref="B3:D3"/>
    <mergeCell ref="E3:G3"/>
    <mergeCell ref="H3:J3"/>
    <mergeCell ref="K3:M3"/>
    <mergeCell ref="N3:P3"/>
    <mergeCell ref="N5:O5"/>
    <mergeCell ref="B6:D6"/>
    <mergeCell ref="E6:G6"/>
    <mergeCell ref="H6:J6"/>
    <mergeCell ref="K6:M6"/>
    <mergeCell ref="N6:P6"/>
    <mergeCell ref="B4:D4"/>
    <mergeCell ref="E4:G4"/>
    <mergeCell ref="H4:J4"/>
    <mergeCell ref="K4:M4"/>
    <mergeCell ref="N4:P4"/>
    <mergeCell ref="A1:G1"/>
    <mergeCell ref="I1:J1"/>
    <mergeCell ref="K1:L1"/>
    <mergeCell ref="M1:N1"/>
    <mergeCell ref="O1:P1"/>
    <mergeCell ref="A2:A3"/>
    <mergeCell ref="B2:D2"/>
    <mergeCell ref="E2:G2"/>
    <mergeCell ref="H2:J2"/>
    <mergeCell ref="K2:M2"/>
  </mergeCells>
  <phoneticPr fontId="5"/>
  <dataValidations count="1">
    <dataValidation type="list" allowBlank="1" showInputMessage="1" sqref="D5 P17 M17 J17 G17 D17 P15 M15 J15 G15 D15 P13 M13 J13 G13 D13 P11 M11 J11 G11 D11 P9 M9 J9 G9 D9 P7 M7 J7 G7 D7 P5 M5 J5 G5" xr:uid="{BD294C4F-634C-4C0A-A88B-611F9821024D}">
      <formula1>"×,月1,月2,月3,月4,月5,月6,月7,火1,火2,火3,火4,火5,火6,火7,水1,水2,水3,水4,水5,水6,水7,木1,木2,木3,木4,木5,木6,木7,金1,金2,金3,金4,金5,金6,金7"</formula1>
    </dataValidation>
  </dataValidations>
  <printOptions horizontalCentered="1"/>
  <pageMargins left="0.78740157480314965" right="0.78740157480314965" top="0.78740157480314965" bottom="0.78740157480314965" header="0" footer="0"/>
  <pageSetup paperSize="9" scale="93"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tn_0">
              <controlPr defaultSize="0" print="0" autoFill="0" autoPict="0" macro="[0]!ボタン_新しい週">
                <anchor moveWithCells="1" sizeWithCells="1">
                  <from>
                    <xdr:col>17</xdr:col>
                    <xdr:colOff>60960</xdr:colOff>
                    <xdr:row>3</xdr:row>
                    <xdr:rowOff>30480</xdr:rowOff>
                  </from>
                  <to>
                    <xdr:col>18</xdr:col>
                    <xdr:colOff>533400</xdr:colOff>
                    <xdr:row>3</xdr:row>
                    <xdr:rowOff>335280</xdr:rowOff>
                  </to>
                </anchor>
              </controlPr>
            </control>
          </mc:Choice>
        </mc:AlternateContent>
        <mc:AlternateContent xmlns:mc="http://schemas.openxmlformats.org/markup-compatibility/2006">
          <mc:Choice Requires="x14">
            <control shapeId="18434" r:id="rId5" name="Btn_1">
              <controlPr defaultSize="0" print="0" autoFill="0" autoPict="0" macro="[0]!ボタン_時間割展開">
                <anchor moveWithCells="1" sizeWithCells="1">
                  <from>
                    <xdr:col>17</xdr:col>
                    <xdr:colOff>60960</xdr:colOff>
                    <xdr:row>3</xdr:row>
                    <xdr:rowOff>441960</xdr:rowOff>
                  </from>
                  <to>
                    <xdr:col>18</xdr:col>
                    <xdr:colOff>533400</xdr:colOff>
                    <xdr:row>4</xdr:row>
                    <xdr:rowOff>45720</xdr:rowOff>
                  </to>
                </anchor>
              </controlPr>
            </control>
          </mc:Choice>
        </mc:AlternateContent>
        <mc:AlternateContent xmlns:mc="http://schemas.openxmlformats.org/markup-compatibility/2006">
          <mc:Choice Requires="x14">
            <control shapeId="18435" r:id="rId6" name="Btn_2">
              <controlPr defaultSize="0" print="0" autoFill="0" autoPict="0" macro="[0]!ボタン_累計更新">
                <anchor moveWithCells="1" sizeWithCells="1">
                  <from>
                    <xdr:col>17</xdr:col>
                    <xdr:colOff>60960</xdr:colOff>
                    <xdr:row>4</xdr:row>
                    <xdr:rowOff>144780</xdr:rowOff>
                  </from>
                  <to>
                    <xdr:col>18</xdr:col>
                    <xdr:colOff>533400</xdr:colOff>
                    <xdr:row>5</xdr:row>
                    <xdr:rowOff>220980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xr:uid="{566031C5-447E-45D7-983A-81EB81692320}">
          <x14:formula1>
            <xm:f>基本設定!$B$6:$B$20</xm:f>
          </x14:formula1>
          <xm:sqref>B5 N19 K19 H19 E19 B19 N17 K17 H17 E17 B17 N15 K15 H15 E15 B15 N13 K13 H13 E13 B13 N11 K11 H11 E11 B11 N9 K9 H9 E9 B9 N7 K7 H7 E7 B7 N5 K5 H5 E5</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03347-B783-4666-9A95-B768D67E0601}">
  <sheetPr codeName="Sheet15">
    <tabColor rgb="FFC0392B"/>
    <pageSetUpPr fitToPage="1"/>
  </sheetPr>
  <dimension ref="A1:P25"/>
  <sheetViews>
    <sheetView workbookViewId="0">
      <selection activeCell="B17" sqref="B17:C17"/>
    </sheetView>
  </sheetViews>
  <sheetFormatPr defaultColWidth="8.77734375" defaultRowHeight="13.2" x14ac:dyDescent="0.2"/>
  <cols>
    <col min="1" max="1" width="5.44140625" customWidth="1"/>
    <col min="2" max="16" width="5.77734375" customWidth="1"/>
  </cols>
  <sheetData>
    <row r="1" spans="1:16" ht="50.1" customHeight="1" x14ac:dyDescent="0.2">
      <c r="A1" s="51" t="s">
        <v>34</v>
      </c>
      <c r="B1" s="52"/>
      <c r="C1" s="52"/>
      <c r="D1" s="52"/>
      <c r="E1" s="52"/>
      <c r="F1" s="52"/>
      <c r="G1" s="52"/>
      <c r="H1" s="8" t="s">
        <v>35</v>
      </c>
      <c r="I1" s="53" t="s">
        <v>36</v>
      </c>
      <c r="J1" s="54"/>
      <c r="K1" s="53" t="s">
        <v>37</v>
      </c>
      <c r="L1" s="54"/>
      <c r="M1" s="53" t="s">
        <v>38</v>
      </c>
      <c r="N1" s="54"/>
      <c r="O1" s="53" t="s">
        <v>39</v>
      </c>
      <c r="P1" s="54"/>
    </row>
    <row r="2" spans="1:16" ht="15.6" customHeight="1" x14ac:dyDescent="0.2">
      <c r="A2" s="55" t="s">
        <v>40</v>
      </c>
      <c r="B2" s="57" t="s">
        <v>29</v>
      </c>
      <c r="C2" s="57"/>
      <c r="D2" s="57"/>
      <c r="E2" s="59" t="s">
        <v>30</v>
      </c>
      <c r="F2" s="59"/>
      <c r="G2" s="59"/>
      <c r="H2" s="45" t="s">
        <v>31</v>
      </c>
      <c r="I2" s="45"/>
      <c r="J2" s="45"/>
      <c r="K2" s="47" t="s">
        <v>32</v>
      </c>
      <c r="L2" s="47"/>
      <c r="M2" s="47"/>
      <c r="N2" s="49" t="s">
        <v>33</v>
      </c>
      <c r="O2" s="49"/>
      <c r="P2" s="49"/>
    </row>
    <row r="3" spans="1:16" ht="15" customHeight="1" x14ac:dyDescent="0.2">
      <c r="A3" s="56"/>
      <c r="B3" s="58" t="s">
        <v>41</v>
      </c>
      <c r="C3" s="58"/>
      <c r="D3" s="58"/>
      <c r="E3" s="60" t="s">
        <v>42</v>
      </c>
      <c r="F3" s="60"/>
      <c r="G3" s="60"/>
      <c r="H3" s="46" t="s">
        <v>43</v>
      </c>
      <c r="I3" s="46"/>
      <c r="J3" s="46"/>
      <c r="K3" s="48" t="s">
        <v>44</v>
      </c>
      <c r="L3" s="48"/>
      <c r="M3" s="48"/>
      <c r="N3" s="50" t="s">
        <v>45</v>
      </c>
      <c r="O3" s="50"/>
      <c r="P3" s="50"/>
    </row>
    <row r="4" spans="1:16" ht="54.9" customHeight="1" x14ac:dyDescent="0.2">
      <c r="A4" s="9" t="s">
        <v>46</v>
      </c>
      <c r="B4" s="40"/>
      <c r="C4" s="40"/>
      <c r="D4" s="40"/>
      <c r="E4" s="41"/>
      <c r="F4" s="41"/>
      <c r="G4" s="41"/>
      <c r="H4" s="42"/>
      <c r="I4" s="42"/>
      <c r="J4" s="42"/>
      <c r="K4" s="43"/>
      <c r="L4" s="43"/>
      <c r="M4" s="43"/>
      <c r="N4" s="44"/>
      <c r="O4" s="44"/>
      <c r="P4" s="44"/>
    </row>
    <row r="5" spans="1:16" ht="18" customHeight="1" x14ac:dyDescent="0.2">
      <c r="A5" s="39">
        <v>1</v>
      </c>
      <c r="B5" s="37"/>
      <c r="C5" s="37"/>
      <c r="D5" s="25"/>
      <c r="E5" s="37"/>
      <c r="F5" s="37"/>
      <c r="G5" s="25"/>
      <c r="H5" s="37"/>
      <c r="I5" s="37"/>
      <c r="J5" s="25"/>
      <c r="K5" s="37"/>
      <c r="L5" s="37"/>
      <c r="M5" s="25"/>
      <c r="N5" s="37"/>
      <c r="O5" s="37"/>
      <c r="P5" s="25"/>
    </row>
    <row r="6" spans="1:16" ht="62.1" customHeight="1" x14ac:dyDescent="0.2">
      <c r="A6" s="39"/>
      <c r="B6" s="38"/>
      <c r="C6" s="38"/>
      <c r="D6" s="38"/>
      <c r="E6" s="38"/>
      <c r="F6" s="38"/>
      <c r="G6" s="38"/>
      <c r="H6" s="38"/>
      <c r="I6" s="38"/>
      <c r="J6" s="38"/>
      <c r="K6" s="38"/>
      <c r="L6" s="38"/>
      <c r="M6" s="38"/>
      <c r="N6" s="38"/>
      <c r="O6" s="38"/>
      <c r="P6" s="38"/>
    </row>
    <row r="7" spans="1:16" ht="18" customHeight="1" x14ac:dyDescent="0.2">
      <c r="A7" s="39">
        <v>2</v>
      </c>
      <c r="B7" s="37"/>
      <c r="C7" s="37"/>
      <c r="D7" s="25"/>
      <c r="E7" s="37"/>
      <c r="F7" s="37"/>
      <c r="G7" s="25"/>
      <c r="H7" s="37"/>
      <c r="I7" s="37"/>
      <c r="J7" s="25"/>
      <c r="K7" s="37"/>
      <c r="L7" s="37"/>
      <c r="M7" s="25"/>
      <c r="N7" s="37"/>
      <c r="O7" s="37"/>
      <c r="P7" s="25"/>
    </row>
    <row r="8" spans="1:16" ht="62.1" customHeight="1" x14ac:dyDescent="0.2">
      <c r="A8" s="39"/>
      <c r="B8" s="38"/>
      <c r="C8" s="38"/>
      <c r="D8" s="38"/>
      <c r="E8" s="38"/>
      <c r="F8" s="38"/>
      <c r="G8" s="38"/>
      <c r="H8" s="38"/>
      <c r="I8" s="38"/>
      <c r="J8" s="38"/>
      <c r="K8" s="38"/>
      <c r="L8" s="38"/>
      <c r="M8" s="38"/>
      <c r="N8" s="38"/>
      <c r="O8" s="38"/>
      <c r="P8" s="38"/>
    </row>
    <row r="9" spans="1:16" ht="18" customHeight="1" x14ac:dyDescent="0.2">
      <c r="A9" s="39">
        <v>3</v>
      </c>
      <c r="B9" s="37"/>
      <c r="C9" s="37"/>
      <c r="D9" s="25"/>
      <c r="E9" s="37"/>
      <c r="F9" s="37"/>
      <c r="G9" s="25"/>
      <c r="H9" s="37"/>
      <c r="I9" s="37"/>
      <c r="J9" s="25"/>
      <c r="K9" s="37"/>
      <c r="L9" s="37"/>
      <c r="M9" s="25"/>
      <c r="N9" s="37"/>
      <c r="O9" s="37"/>
      <c r="P9" s="25"/>
    </row>
    <row r="10" spans="1:16" ht="62.1" customHeight="1" x14ac:dyDescent="0.2">
      <c r="A10" s="39"/>
      <c r="B10" s="38"/>
      <c r="C10" s="38"/>
      <c r="D10" s="38"/>
      <c r="E10" s="38"/>
      <c r="F10" s="38"/>
      <c r="G10" s="38"/>
      <c r="H10" s="38"/>
      <c r="I10" s="38"/>
      <c r="J10" s="38"/>
      <c r="K10" s="38"/>
      <c r="L10" s="38"/>
      <c r="M10" s="38"/>
      <c r="N10" s="38"/>
      <c r="O10" s="38"/>
      <c r="P10" s="38"/>
    </row>
    <row r="11" spans="1:16" ht="18" customHeight="1" x14ac:dyDescent="0.2">
      <c r="A11" s="39">
        <v>4</v>
      </c>
      <c r="B11" s="37"/>
      <c r="C11" s="37"/>
      <c r="D11" s="25"/>
      <c r="E11" s="37"/>
      <c r="F11" s="37"/>
      <c r="G11" s="25"/>
      <c r="H11" s="37"/>
      <c r="I11" s="37"/>
      <c r="J11" s="25"/>
      <c r="K11" s="37"/>
      <c r="L11" s="37"/>
      <c r="M11" s="25"/>
      <c r="N11" s="37"/>
      <c r="O11" s="37"/>
      <c r="P11" s="25"/>
    </row>
    <row r="12" spans="1:16" ht="62.1" customHeight="1" x14ac:dyDescent="0.2">
      <c r="A12" s="39"/>
      <c r="B12" s="38"/>
      <c r="C12" s="38"/>
      <c r="D12" s="38"/>
      <c r="E12" s="38"/>
      <c r="F12" s="38"/>
      <c r="G12" s="38"/>
      <c r="H12" s="38"/>
      <c r="I12" s="38"/>
      <c r="J12" s="38"/>
      <c r="K12" s="38"/>
      <c r="L12" s="38"/>
      <c r="M12" s="38"/>
      <c r="N12" s="38"/>
      <c r="O12" s="38"/>
      <c r="P12" s="38"/>
    </row>
    <row r="13" spans="1:16" ht="18" customHeight="1" x14ac:dyDescent="0.2">
      <c r="A13" s="39">
        <v>5</v>
      </c>
      <c r="B13" s="37"/>
      <c r="C13" s="37"/>
      <c r="D13" s="25"/>
      <c r="E13" s="37"/>
      <c r="F13" s="37"/>
      <c r="G13" s="25"/>
      <c r="H13" s="37"/>
      <c r="I13" s="37"/>
      <c r="J13" s="25"/>
      <c r="K13" s="37"/>
      <c r="L13" s="37"/>
      <c r="M13" s="25"/>
      <c r="N13" s="37"/>
      <c r="O13" s="37"/>
      <c r="P13" s="25"/>
    </row>
    <row r="14" spans="1:16" ht="62.1" customHeight="1" x14ac:dyDescent="0.2">
      <c r="A14" s="39"/>
      <c r="B14" s="38"/>
      <c r="C14" s="38"/>
      <c r="D14" s="38"/>
      <c r="E14" s="38"/>
      <c r="F14" s="38"/>
      <c r="G14" s="38"/>
      <c r="H14" s="38"/>
      <c r="I14" s="38"/>
      <c r="J14" s="38"/>
      <c r="K14" s="38"/>
      <c r="L14" s="38"/>
      <c r="M14" s="38"/>
      <c r="N14" s="38"/>
      <c r="O14" s="38"/>
      <c r="P14" s="38"/>
    </row>
    <row r="15" spans="1:16" ht="18" customHeight="1" x14ac:dyDescent="0.2">
      <c r="A15" s="39">
        <v>6</v>
      </c>
      <c r="B15" s="37"/>
      <c r="C15" s="37"/>
      <c r="D15" s="25"/>
      <c r="E15" s="37"/>
      <c r="F15" s="37"/>
      <c r="G15" s="25"/>
      <c r="H15" s="37"/>
      <c r="I15" s="37"/>
      <c r="J15" s="25"/>
      <c r="K15" s="37"/>
      <c r="L15" s="37"/>
      <c r="M15" s="25"/>
      <c r="N15" s="37"/>
      <c r="O15" s="37"/>
      <c r="P15" s="25"/>
    </row>
    <row r="16" spans="1:16" ht="62.1" customHeight="1" x14ac:dyDescent="0.2">
      <c r="A16" s="39"/>
      <c r="B16" s="38"/>
      <c r="C16" s="38"/>
      <c r="D16" s="38"/>
      <c r="E16" s="38"/>
      <c r="F16" s="38"/>
      <c r="G16" s="38"/>
      <c r="H16" s="38"/>
      <c r="I16" s="38"/>
      <c r="J16" s="38"/>
      <c r="K16" s="38"/>
      <c r="L16" s="38"/>
      <c r="M16" s="38"/>
      <c r="N16" s="38"/>
      <c r="O16" s="38"/>
      <c r="P16" s="38"/>
    </row>
    <row r="17" spans="1:16" ht="18" customHeight="1" x14ac:dyDescent="0.2">
      <c r="A17" s="39">
        <v>7</v>
      </c>
      <c r="B17" s="37"/>
      <c r="C17" s="37"/>
      <c r="D17" s="25"/>
      <c r="E17" s="37"/>
      <c r="F17" s="37"/>
      <c r="G17" s="25"/>
      <c r="H17" s="37"/>
      <c r="I17" s="37"/>
      <c r="J17" s="25"/>
      <c r="K17" s="37"/>
      <c r="L17" s="37"/>
      <c r="M17" s="25"/>
      <c r="N17" s="37"/>
      <c r="O17" s="37"/>
      <c r="P17" s="25"/>
    </row>
    <row r="18" spans="1:16" ht="62.1" customHeight="1" x14ac:dyDescent="0.2">
      <c r="A18" s="39"/>
      <c r="B18" s="38"/>
      <c r="C18" s="38"/>
      <c r="D18" s="38"/>
      <c r="E18" s="38"/>
      <c r="F18" s="38"/>
      <c r="G18" s="38"/>
      <c r="H18" s="38"/>
      <c r="I18" s="38"/>
      <c r="J18" s="38"/>
      <c r="K18" s="38"/>
      <c r="L18" s="38"/>
      <c r="M18" s="38"/>
      <c r="N18" s="38"/>
      <c r="O18" s="38"/>
      <c r="P18" s="38"/>
    </row>
    <row r="19" spans="1:16" ht="54.9" customHeight="1" x14ac:dyDescent="0.2">
      <c r="A19" s="10" t="s">
        <v>47</v>
      </c>
      <c r="B19" s="34"/>
      <c r="C19" s="34"/>
      <c r="D19" s="34"/>
      <c r="E19" s="34"/>
      <c r="F19" s="34"/>
      <c r="G19" s="34"/>
      <c r="H19" s="34"/>
      <c r="I19" s="34"/>
      <c r="J19" s="34"/>
      <c r="K19" s="34"/>
      <c r="L19" s="34"/>
      <c r="M19" s="34"/>
      <c r="N19" s="34"/>
      <c r="O19" s="34"/>
      <c r="P19" s="34"/>
    </row>
    <row r="20" spans="1:16" hidden="1" x14ac:dyDescent="0.2">
      <c r="A20" s="11"/>
      <c r="B20" s="11"/>
      <c r="C20" s="11"/>
      <c r="D20" s="11"/>
      <c r="E20" s="11"/>
      <c r="F20" s="11"/>
      <c r="G20" s="11"/>
      <c r="H20" s="11"/>
      <c r="I20" s="11"/>
      <c r="J20" s="11"/>
      <c r="K20" s="11"/>
      <c r="L20" s="11"/>
      <c r="M20" s="11"/>
      <c r="N20" s="11"/>
      <c r="O20" s="11"/>
      <c r="P20" s="11"/>
    </row>
    <row r="21" spans="1:16" ht="13.5" customHeight="1" x14ac:dyDescent="0.2">
      <c r="A21" s="12" t="s">
        <v>48</v>
      </c>
      <c r="B21" s="12">
        <f>IF(基本設定!B6="","",基本設定!B6)</f>
      </c>
      <c r="C21" s="12">
        <f>IF(基本設定!B7="","",基本設定!B7)</f>
      </c>
      <c r="D21" s="12">
        <f>IF(基本設定!B8="","",基本設定!B8)</f>
      </c>
      <c r="E21" s="12">
        <f>IF(基本設定!B9="","",基本設定!B9)</f>
      </c>
      <c r="F21" s="12">
        <f>IF(基本設定!B10="","",基本設定!B10)</f>
      </c>
      <c r="G21" s="12">
        <f>IF(基本設定!B11="","",基本設定!B11)</f>
      </c>
      <c r="H21" s="12"/>
      <c r="I21" s="12"/>
      <c r="J21" s="12"/>
      <c r="K21" s="12"/>
      <c r="L21" s="12"/>
      <c r="M21" s="13" t="s">
        <v>53</v>
      </c>
      <c r="N21" s="12" t="s">
        <v>20</v>
      </c>
      <c r="O21" s="12" t="s">
        <v>22</v>
      </c>
      <c r="P21" s="14" t="s">
        <v>49</v>
      </c>
    </row>
    <row r="22" spans="1:16" ht="13.5" customHeight="1" x14ac:dyDescent="0.2">
      <c r="A22" s="15" t="s">
        <v>50</v>
      </c>
      <c r="B22" s="16">
        <f>IF(B21="","",IFERROR(VALUE(VLOOKUP(B21,基本設定!$A$23:$B$35,2,FALSE())),""))</f>
      </c>
      <c r="C22" s="16">
        <f>IF(C21="","",IFERROR(VALUE(VLOOKUP(C21,基本設定!$A$23:$B$35,2,FALSE())),""))</f>
      </c>
      <c r="D22" s="16">
        <f>IF(D21="","",IFERROR(VALUE(VLOOKUP(D21,基本設定!$A$23:$B$35,2,FALSE())),""))</f>
      </c>
      <c r="E22" s="16">
        <f>IF(E21="","",IFERROR(VALUE(VLOOKUP(E21,基本設定!$A$23:$B$35,2,FALSE())),""))</f>
      </c>
      <c r="F22" s="16">
        <f>IF(F21="","",IFERROR(VALUE(VLOOKUP(F21,基本設定!$A$23:$B$35,2,FALSE())),""))</f>
      </c>
      <c r="G22" s="16">
        <f>IF(G21="","",IFERROR(VALUE(VLOOKUP(G21,基本設定!$A$23:$B$35,2,FALSE())),""))</f>
      </c>
      <c r="H22" s="17"/>
      <c r="I22" s="17"/>
      <c r="J22" s="17"/>
      <c r="K22" s="17"/>
      <c r="L22" s="17"/>
      <c r="M22" s="17">
        <v>1</v>
      </c>
      <c r="N22" s="17">
        <f>IF(N21="","",IFERROR(VALUE(VLOOKUP(N21,基本設定!$A$23:$B$35,2,FALSE())),""))</f>
      </c>
      <c r="O22" s="17">
        <f>IF(O21="","",IFERROR(VALUE(VLOOKUP(O21,基本設定!$A$23:$B$35,2,FALSE())),""))</f>
      </c>
      <c r="P22" s="18">
        <f>IF(SUM(B22:O22)=0,"",SUM(B22:O22))</f>
      </c>
    </row>
    <row r="23" spans="1:16" ht="13.5" customHeight="1" x14ac:dyDescent="0.2">
      <c r="A23" s="35" t="s">
        <v>51</v>
      </c>
      <c r="B23" s="19">
        <f>IF(B21="","",IF(B24="","",B24-(SUMPRODUCT((B5:C5=B21)*(D5="×"))+SUMPRODUCT((E5:F5=B21)*(G5="×"))+SUMPRODUCT((H5:I5=B21)*(J5="×"))+SUMPRODUCT((K5:L5=B21)*(M5="×"))+SUMPRODUCT((N5:O5=B21)*(P5="×"))+SUMPRODUCT((B7:C7=B21)*(D7="×"))+SUMPRODUCT((E7:F7=B21)*(G7="×"))+SUMPRODUCT((H7:I7=B21)*(J7="×"))+SUMPRODUCT((K7:L7=B21)*(M7="×"))+SUMPRODUCT((N7:O7=B21)*(P7="×"))+SUMPRODUCT((B9:C9=B21)*(D9="×"))+SUMPRODUCT((E9:F9=B21)*(G9="×"))+SUMPRODUCT((H9:I9=B21)*(J9="×"))+SUMPRODUCT((K9:L9=B21)*(M9="×"))+SUMPRODUCT((N9:O9=B21)*(P9="×"))+SUMPRODUCT((B11:C11=B21)*(D11="×"))+SUMPRODUCT((E11:F11=B21)*(G11="×"))+SUMPRODUCT((H11:I11=B21)*(J11="×"))+SUMPRODUCT((K11:L11=B21)*(M11="×"))+SUMPRODUCT((N11:O11=B21)*(P11="×"))+SUMPRODUCT((B13:C13=B21)*(D13="×"))+SUMPRODUCT((E13:F13=B21)*(G13="×"))+SUMPRODUCT((H13:I13=B21)*(J13="×"))+SUMPRODUCT((K13:L13=B21)*(M13="×"))+SUMPRODUCT((N13:O13=B21)*(P13="×"))+SUMPRODUCT((B15:C15=B21)*(D15="×"))+SUMPRODUCT((E15:F15=B21)*(G15="×"))+SUMPRODUCT((H15:I15=B21)*(J15="×"))+SUMPRODUCT((K15:L15=B21)*(M15="×"))+SUMPRODUCT((N15:O15=B21)*(P15="×"))+SUMPRODUCT((B17:C17=B21)*(D17="×"))+SUMPRODUCT((E17:F17=B21)*(G17="×"))+SUMPRODUCT((H17:I17=B21)*(J17="×"))+SUMPRODUCT((K17:L17=B21)*(M17="×"))+SUMPRODUCT((N17:O17=B21)*(P17="×")))))</f>
        <v/>
      </c>
      <c r="C23" s="19">
        <f>IF(C21="","",IF(C24="","",C24-(SUMPRODUCT((B5:C5=C21)*(D5="×"))+SUMPRODUCT((E5:F5=C21)*(G5="×"))+SUMPRODUCT((H5:I5=C21)*(J5="×"))+SUMPRODUCT((K5:L5=C21)*(M5="×"))+SUMPRODUCT((N5:O5=C21)*(P5="×"))+SUMPRODUCT((B7:C7=C21)*(D7="×"))+SUMPRODUCT((E7:F7=C21)*(G7="×"))+SUMPRODUCT((H7:I7=C21)*(J7="×"))+SUMPRODUCT((K7:L7=C21)*(M7="×"))+SUMPRODUCT((N7:O7=C21)*(P7="×"))+SUMPRODUCT((B9:C9=C21)*(D9="×"))+SUMPRODUCT((E9:F9=C21)*(G9="×"))+SUMPRODUCT((H9:I9=C21)*(J9="×"))+SUMPRODUCT((K9:L9=C21)*(M9="×"))+SUMPRODUCT((N9:O9=C21)*(P9="×"))+SUMPRODUCT((B11:C11=C21)*(D11="×"))+SUMPRODUCT((E11:F11=C21)*(G11="×"))+SUMPRODUCT((H11:I11=C21)*(J11="×"))+SUMPRODUCT((K11:L11=C21)*(M11="×"))+SUMPRODUCT((N11:O11=C21)*(P11="×"))+SUMPRODUCT((B13:C13=C21)*(D13="×"))+SUMPRODUCT((E13:F13=C21)*(G13="×"))+SUMPRODUCT((H13:I13=C21)*(J13="×"))+SUMPRODUCT((K13:L13=C21)*(M13="×"))+SUMPRODUCT((N13:O13=C21)*(P13="×"))+SUMPRODUCT((B15:C15=C21)*(D15="×"))+SUMPRODUCT((E15:F15=C21)*(G15="×"))+SUMPRODUCT((H15:I15=C21)*(J15="×"))+SUMPRODUCT((K15:L15=C21)*(M15="×"))+SUMPRODUCT((N15:O15=C21)*(P15="×"))+SUMPRODUCT((B17:C17=C21)*(D17="×"))+SUMPRODUCT((E17:F17=C21)*(G17="×"))+SUMPRODUCT((H17:I17=C21)*(J17="×"))+SUMPRODUCT((K17:L17=C21)*(M17="×"))+SUMPRODUCT((N17:O17=C21)*(P17="×")))))</f>
        <v/>
      </c>
      <c r="D23" s="19">
        <f>IF(D21="","",IF(D24="","",D24-(SUMPRODUCT((B5:C5=D21)*(D5="×"))+SUMPRODUCT((E5:F5=D21)*(G5="×"))+SUMPRODUCT((H5:I5=D21)*(J5="×"))+SUMPRODUCT((K5:L5=D21)*(M5="×"))+SUMPRODUCT((N5:O5=D21)*(P5="×"))+SUMPRODUCT((B7:C7=D21)*(D7="×"))+SUMPRODUCT((E7:F7=D21)*(G7="×"))+SUMPRODUCT((H7:I7=D21)*(J7="×"))+SUMPRODUCT((K7:L7=D21)*(M7="×"))+SUMPRODUCT((N7:O7=D21)*(P7="×"))+SUMPRODUCT((B9:C9=D21)*(D9="×"))+SUMPRODUCT((E9:F9=D21)*(G9="×"))+SUMPRODUCT((H9:I9=D21)*(J9="×"))+SUMPRODUCT((K9:L9=D21)*(M9="×"))+SUMPRODUCT((N9:O9=D21)*(P9="×"))+SUMPRODUCT((B11:C11=D21)*(D11="×"))+SUMPRODUCT((E11:F11=D21)*(G11="×"))+SUMPRODUCT((H11:I11=D21)*(J11="×"))+SUMPRODUCT((K11:L11=D21)*(M11="×"))+SUMPRODUCT((N11:O11=D21)*(P11="×"))+SUMPRODUCT((B13:C13=D21)*(D13="×"))+SUMPRODUCT((E13:F13=D21)*(G13="×"))+SUMPRODUCT((H13:I13=D21)*(J13="×"))+SUMPRODUCT((K13:L13=D21)*(M13="×"))+SUMPRODUCT((N13:O13=D21)*(P13="×"))+SUMPRODUCT((B15:C15=D21)*(D15="×"))+SUMPRODUCT((E15:F15=D21)*(G15="×"))+SUMPRODUCT((H15:I15=D21)*(J15="×"))+SUMPRODUCT((K15:L15=D21)*(M15="×"))+SUMPRODUCT((N15:O15=D21)*(P15="×"))+SUMPRODUCT((B17:C17=D21)*(D17="×"))+SUMPRODUCT((E17:F17=D21)*(G17="×"))+SUMPRODUCT((H17:I17=D21)*(J17="×"))+SUMPRODUCT((K17:L17=D21)*(M17="×"))+SUMPRODUCT((N17:O17=D21)*(P17="×")))))</f>
        <v/>
      </c>
      <c r="E23" s="19">
        <f>IF(E21="","",IF(E24="","",E24-(SUMPRODUCT((B5:C5=E21)*(D5="×"))+SUMPRODUCT((E5:F5=E21)*(G5="×"))+SUMPRODUCT((H5:I5=E21)*(J5="×"))+SUMPRODUCT((K5:L5=E21)*(M5="×"))+SUMPRODUCT((N5:O5=E21)*(P5="×"))+SUMPRODUCT((B7:C7=E21)*(D7="×"))+SUMPRODUCT((E7:F7=E21)*(G7="×"))+SUMPRODUCT((H7:I7=E21)*(J7="×"))+SUMPRODUCT((K7:L7=E21)*(M7="×"))+SUMPRODUCT((N7:O7=E21)*(P7="×"))+SUMPRODUCT((B9:C9=E21)*(D9="×"))+SUMPRODUCT((E9:F9=E21)*(G9="×"))+SUMPRODUCT((H9:I9=E21)*(J9="×"))+SUMPRODUCT((K9:L9=E21)*(M9="×"))+SUMPRODUCT((N9:O9=E21)*(P9="×"))+SUMPRODUCT((B11:C11=E21)*(D11="×"))+SUMPRODUCT((E11:F11=E21)*(G11="×"))+SUMPRODUCT((H11:I11=E21)*(J11="×"))+SUMPRODUCT((K11:L11=E21)*(M11="×"))+SUMPRODUCT((N11:O11=E21)*(P11="×"))+SUMPRODUCT((B13:C13=E21)*(D13="×"))+SUMPRODUCT((E13:F13=E21)*(G13="×"))+SUMPRODUCT((H13:I13=E21)*(J13="×"))+SUMPRODUCT((K13:L13=E21)*(M13="×"))+SUMPRODUCT((N13:O13=E21)*(P13="×"))+SUMPRODUCT((B15:C15=E21)*(D15="×"))+SUMPRODUCT((E15:F15=E21)*(G15="×"))+SUMPRODUCT((H15:I15=E21)*(J15="×"))+SUMPRODUCT((K15:L15=E21)*(M15="×"))+SUMPRODUCT((N15:O15=E21)*(P15="×"))+SUMPRODUCT((B17:C17=E21)*(D17="×"))+SUMPRODUCT((E17:F17=E21)*(G17="×"))+SUMPRODUCT((H17:I17=E21)*(J17="×"))+SUMPRODUCT((K17:L17=E21)*(M17="×"))+SUMPRODUCT((N17:O17=E21)*(P17="×")))))</f>
        <v/>
      </c>
      <c r="F23" s="19">
        <f>IF(F21="","",IF(F24="","",F24-(SUMPRODUCT((B5:C5=F21)*(D5="×"))+SUMPRODUCT((E5:F5=F21)*(G5="×"))+SUMPRODUCT((H5:I5=F21)*(J5="×"))+SUMPRODUCT((K5:L5=F21)*(M5="×"))+SUMPRODUCT((N5:O5=F21)*(P5="×"))+SUMPRODUCT((B7:C7=F21)*(D7="×"))+SUMPRODUCT((E7:F7=F21)*(G7="×"))+SUMPRODUCT((H7:I7=F21)*(J7="×"))+SUMPRODUCT((K7:L7=F21)*(M7="×"))+SUMPRODUCT((N7:O7=F21)*(P7="×"))+SUMPRODUCT((B9:C9=F21)*(D9="×"))+SUMPRODUCT((E9:F9=F21)*(G9="×"))+SUMPRODUCT((H9:I9=F21)*(J9="×"))+SUMPRODUCT((K9:L9=F21)*(M9="×"))+SUMPRODUCT((N9:O9=F21)*(P9="×"))+SUMPRODUCT((B11:C11=F21)*(D11="×"))+SUMPRODUCT((E11:F11=F21)*(G11="×"))+SUMPRODUCT((H11:I11=F21)*(J11="×"))+SUMPRODUCT((K11:L11=F21)*(M11="×"))+SUMPRODUCT((N11:O11=F21)*(P11="×"))+SUMPRODUCT((B13:C13=F21)*(D13="×"))+SUMPRODUCT((E13:F13=F21)*(G13="×"))+SUMPRODUCT((H13:I13=F21)*(J13="×"))+SUMPRODUCT((K13:L13=F21)*(M13="×"))+SUMPRODUCT((N13:O13=F21)*(P13="×"))+SUMPRODUCT((B15:C15=F21)*(D15="×"))+SUMPRODUCT((E15:F15=F21)*(G15="×"))+SUMPRODUCT((H15:I15=F21)*(J15="×"))+SUMPRODUCT((K15:L15=F21)*(M15="×"))+SUMPRODUCT((N15:O15=F21)*(P15="×"))+SUMPRODUCT((B17:C17=F21)*(D17="×"))+SUMPRODUCT((E17:F17=F21)*(G17="×"))+SUMPRODUCT((H17:I17=F21)*(J17="×"))+SUMPRODUCT((K17:L17=F21)*(M17="×"))+SUMPRODUCT((N17:O17=F21)*(P17="×")))))</f>
        <v/>
      </c>
      <c r="G23" s="19">
        <f>IF(G21="","",IF(G24="","",G24-(SUMPRODUCT((B5:C5=G21)*(D5="×"))+SUMPRODUCT((E5:F5=G21)*(G5="×"))+SUMPRODUCT((H5:I5=G21)*(J5="×"))+SUMPRODUCT((K5:L5=G21)*(M5="×"))+SUMPRODUCT((N5:O5=G21)*(P5="×"))+SUMPRODUCT((B7:C7=G21)*(D7="×"))+SUMPRODUCT((E7:F7=G21)*(G7="×"))+SUMPRODUCT((H7:I7=G21)*(J7="×"))+SUMPRODUCT((K7:L7=G21)*(M7="×"))+SUMPRODUCT((N7:O7=G21)*(P7="×"))+SUMPRODUCT((B9:C9=G21)*(D9="×"))+SUMPRODUCT((E9:F9=G21)*(G9="×"))+SUMPRODUCT((H9:I9=G21)*(J9="×"))+SUMPRODUCT((K9:L9=G21)*(M9="×"))+SUMPRODUCT((N9:O9=G21)*(P9="×"))+SUMPRODUCT((B11:C11=G21)*(D11="×"))+SUMPRODUCT((E11:F11=G21)*(G11="×"))+SUMPRODUCT((H11:I11=G21)*(J11="×"))+SUMPRODUCT((K11:L11=G21)*(M11="×"))+SUMPRODUCT((N11:O11=G21)*(P11="×"))+SUMPRODUCT((B13:C13=G21)*(D13="×"))+SUMPRODUCT((E13:F13=G21)*(G13="×"))+SUMPRODUCT((H13:I13=G21)*(J13="×"))+SUMPRODUCT((K13:L13=G21)*(M13="×"))+SUMPRODUCT((N13:O13=G21)*(P13="×"))+SUMPRODUCT((B15:C15=G21)*(D15="×"))+SUMPRODUCT((E15:F15=G21)*(G15="×"))+SUMPRODUCT((H15:I15=G21)*(J15="×"))+SUMPRODUCT((K15:L15=G21)*(M15="×"))+SUMPRODUCT((N15:O15=G21)*(P15="×"))+SUMPRODUCT((B17:C17=G21)*(D17="×"))+SUMPRODUCT((E17:F17=G21)*(G17="×"))+SUMPRODUCT((H17:I17=G21)*(J17="×"))+SUMPRODUCT((K17:L17=G21)*(M17="×"))+SUMPRODUCT((N17:O17=G21)*(P17="×")))))</f>
        <v/>
      </c>
      <c r="H23" s="19"/>
      <c r="I23" s="19"/>
      <c r="J23" s="19"/>
      <c r="K23" s="19"/>
      <c r="L23" s="19"/>
      <c r="M23" s="19">
        <f>IF(M24="","",M24-(SUMPRODUCT((B5:C5="特活")*(D5="×"))+SUMPRODUCT((B5:C5="学活")*(D5="×"))+SUMPRODUCT((E5:F5="特活")*(G5="×"))+SUMPRODUCT((E5:F5="学活")*(G5="×"))+SUMPRODUCT((H5:I5="特活")*(J5="×"))+SUMPRODUCT((H5:I5="学活")*(J5="×"))+SUMPRODUCT((K5:L5="特活")*(M5="×"))+SUMPRODUCT((K5:L5="学活")*(M5="×"))+SUMPRODUCT((N5:O5="特活")*(P5="×"))+SUMPRODUCT((N5:O5="学活")*(P5="×"))+SUMPRODUCT((B7:C7="特活")*(D7="×"))+SUMPRODUCT((B7:C7="学活")*(D7="×"))+SUMPRODUCT((E7:F7="特活")*(G7="×"))+SUMPRODUCT((E7:F7="学活")*(G7="×"))+SUMPRODUCT((H7:I7="特活")*(J7="×"))+SUMPRODUCT((H7:I7="学活")*(J7="×"))+SUMPRODUCT((K7:L7="特活")*(M7="×"))+SUMPRODUCT((K7:L7="学活")*(M7="×"))+SUMPRODUCT((N7:O7="特活")*(P7="×"))+SUMPRODUCT((N7:O7="学活")*(P7="×"))+SUMPRODUCT((B9:C9="特活")*(D9="×"))+SUMPRODUCT((B9:C9="学活")*(D9="×"))+SUMPRODUCT((E9:F9="特活")*(G9="×"))+SUMPRODUCT((E9:F9="学活")*(G9="×"))+SUMPRODUCT((H9:I9="特活")*(J9="×"))+SUMPRODUCT((H9:I9="学活")*(J9="×"))+SUMPRODUCT((K9:L9="特活")*(M9="×"))+SUMPRODUCT((K9:L9="学活")*(M9="×"))+SUMPRODUCT((N9:O9="特活")*(P9="×"))+SUMPRODUCT((N9:O9="学活")*(P9="×"))+SUMPRODUCT((B11:C11="特活")*(D11="×"))+SUMPRODUCT((B11:C11="学活")*(D11="×"))+SUMPRODUCT((E11:F11="特活")*(G11="×"))+SUMPRODUCT((E11:F11="学活")*(G11="×"))+SUMPRODUCT((H11:I11="特活")*(J11="×"))+SUMPRODUCT((H11:I11="学活")*(J11="×"))+SUMPRODUCT((K11:L11="特活")*(M11="×"))+SUMPRODUCT((K11:L11="学活")*(M11="×"))+SUMPRODUCT((N11:O11="特活")*(P11="×"))+SUMPRODUCT((N11:O11="学活")*(P11="×"))+SUMPRODUCT((B13:C13="特活")*(D13="×"))+SUMPRODUCT((B13:C13="学活")*(D13="×"))+SUMPRODUCT((E13:F13="特活")*(G13="×"))+SUMPRODUCT((E13:F13="学活")*(G13="×"))+SUMPRODUCT((H13:I13="特活")*(J13="×"))+SUMPRODUCT((H13:I13="学活")*(J13="×"))+SUMPRODUCT((K13:L13="特活")*(M13="×"))+SUMPRODUCT((K13:L13="学活")*(M13="×"))+SUMPRODUCT((N13:O13="特活")*(P13="×"))+SUMPRODUCT((N13:O13="学活")*(P13="×"))+SUMPRODUCT((B15:C15="特活")*(D15="×"))+SUMPRODUCT((B15:C15="学活")*(D15="×"))+SUMPRODUCT((E15:F15="特活")*(G15="×"))+SUMPRODUCT((E15:F15="学活")*(G15="×"))+SUMPRODUCT((H15:I15="特活")*(J15="×"))+SUMPRODUCT((H15:I15="学活")*(J15="×"))+SUMPRODUCT((K15:L15="特活")*(M15="×"))+SUMPRODUCT((K15:L15="学活")*(M15="×"))+SUMPRODUCT((N15:O15="特活")*(P15="×"))+SUMPRODUCT((N15:O15="学活")*(P15="×"))+SUMPRODUCT((B17:C17="特活")*(D17="×"))+SUMPRODUCT((B17:C17="学活")*(D17="×"))+SUMPRODUCT((E17:F17="特活")*(G17="×"))+SUMPRODUCT((E17:F17="学活")*(G17="×"))+SUMPRODUCT((H17:I17="特活")*(J17="×"))+SUMPRODUCT((H17:I17="学活")*(J17="×"))+SUMPRODUCT((K17:L17="特活")*(M17="×"))+SUMPRODUCT((K17:L17="学活")*(M17="×"))+SUMPRODUCT((N17:O17="特活")*(P17="×"))+SUMPRODUCT((N17:O17="学活")*(P17="×"))))</f>
        <v/>
      </c>
      <c r="N23" s="19">
        <f>IF(N24="","",N24-(SUMPRODUCT((B5:C5=N21)*(D5="×"))+SUMPRODUCT((E5:F5=N21)*(G5="×"))+SUMPRODUCT((H5:I5=N21)*(J5="×"))+SUMPRODUCT((K5:L5=N21)*(M5="×"))+SUMPRODUCT((N5:O5=N21)*(P5="×"))+SUMPRODUCT((B7:C7=N21)*(D7="×"))+SUMPRODUCT((E7:F7=N21)*(G7="×"))+SUMPRODUCT((H7:I7=N21)*(J7="×"))+SUMPRODUCT((K7:L7=N21)*(M7="×"))+SUMPRODUCT((N7:O7=N21)*(P7="×"))+SUMPRODUCT((B9:C9=N21)*(D9="×"))+SUMPRODUCT((E9:F9=N21)*(G9="×"))+SUMPRODUCT((H9:I9=N21)*(J9="×"))+SUMPRODUCT((K9:L9=N21)*(M9="×"))+SUMPRODUCT((N9:O9=N21)*(P9="×"))+SUMPRODUCT((B11:C11=N21)*(D11="×"))+SUMPRODUCT((E11:F11=N21)*(G11="×"))+SUMPRODUCT((H11:I11=N21)*(J11="×"))+SUMPRODUCT((K11:L11=N21)*(M11="×"))+SUMPRODUCT((N11:O11=N21)*(P11="×"))+SUMPRODUCT((B13:C13=N21)*(D13="×"))+SUMPRODUCT((E13:F13=N21)*(G13="×"))+SUMPRODUCT((H13:I13=N21)*(J13="×"))+SUMPRODUCT((K13:L13=N21)*(M13="×"))+SUMPRODUCT((N13:O13=N21)*(P13="×"))+SUMPRODUCT((B15:C15=N21)*(D15="×"))+SUMPRODUCT((E15:F15=N21)*(G15="×"))+SUMPRODUCT((H15:I15=N21)*(J15="×"))+SUMPRODUCT((K15:L15=N21)*(M15="×"))+SUMPRODUCT((N15:O15=N21)*(P15="×"))+SUMPRODUCT((B17:C17=N21)*(D17="×"))+SUMPRODUCT((E17:F17=N21)*(G17="×"))+SUMPRODUCT((H17:I17=N21)*(J17="×"))+SUMPRODUCT((K17:L17=N21)*(M17="×"))+SUMPRODUCT((N17:O17=N21)*(P17="×"))))</f>
        <v/>
      </c>
      <c r="O23" s="19">
        <f>IF(O24="","",O24-(SUMPRODUCT((B5:C5=O21)*(D5="×"))+SUMPRODUCT((E5:F5=O21)*(G5="×"))+SUMPRODUCT((H5:I5=O21)*(J5="×"))+SUMPRODUCT((K5:L5=O21)*(M5="×"))+SUMPRODUCT((N5:O5=O21)*(P5="×"))+SUMPRODUCT((B7:C7=O21)*(D7="×"))+SUMPRODUCT((E7:F7=O21)*(G7="×"))+SUMPRODUCT((H7:I7=O21)*(J7="×"))+SUMPRODUCT((K7:L7=O21)*(M7="×"))+SUMPRODUCT((N7:O7=O21)*(P7="×"))+SUMPRODUCT((B9:C9=O21)*(D9="×"))+SUMPRODUCT((E9:F9=O21)*(G9="×"))+SUMPRODUCT((H9:I9=O21)*(J9="×"))+SUMPRODUCT((K9:L9=O21)*(M9="×"))+SUMPRODUCT((N9:O9=O21)*(P9="×"))+SUMPRODUCT((B11:C11=O21)*(D11="×"))+SUMPRODUCT((E11:F11=O21)*(G11="×"))+SUMPRODUCT((H11:I11=O21)*(J11="×"))+SUMPRODUCT((K11:L11=O21)*(M11="×"))+SUMPRODUCT((N11:O11=O21)*(P11="×"))+SUMPRODUCT((B13:C13=O21)*(D13="×"))+SUMPRODUCT((E13:F13=O21)*(G13="×"))+SUMPRODUCT((H13:I13=O21)*(J13="×"))+SUMPRODUCT((K13:L13=O21)*(M13="×"))+SUMPRODUCT((N13:O13=O21)*(P13="×"))+SUMPRODUCT((B15:C15=O21)*(D15="×"))+SUMPRODUCT((E15:F15=O21)*(G15="×"))+SUMPRODUCT((H15:I15=O21)*(J15="×"))+SUMPRODUCT((K15:L15=O21)*(M15="×"))+SUMPRODUCT((N15:O15=O21)*(P15="×"))+SUMPRODUCT((B17:C17=O21)*(D17="×"))+SUMPRODUCT((E17:F17=O21)*(G17="×"))+SUMPRODUCT((H17:I17=O21)*(J17="×"))+SUMPRODUCT((K17:L17=O21)*(M17="×"))+SUMPRODUCT((N17:O17=O21)*(P17="×"))))</f>
        <v/>
      </c>
      <c r="P23" s="20">
        <f>IF(SUM(B23:O23)=0,"",SUM(B23:O23))</f>
        <v/>
      </c>
    </row>
    <row r="24" spans="1:16" ht="13.5" customHeight="1" x14ac:dyDescent="0.2">
      <c r="A24" s="36"/>
      <c r="B24" s="21">
        <f>IF(B21="","",IF(COUNTIF(B5:C5,B21)+COUNTIF(B5:C5,"*,"&amp;B21&amp;",*")+COUNTIF(E5:F5,B21)+COUNTIF(E5:F5,"*,"&amp;B21&amp;",*")+COUNTIF(H5:I5,B21)+COUNTIF(H5:I5,"*,"&amp;B21&amp;",*")+COUNTIF(K5:L5,B21)+COUNTIF(K5:L5,"*,"&amp;B21&amp;",*")+COUNTIF(N5:O5,B21)+COUNTIF(N5:O5,"*,"&amp;B21&amp;",*")+COUNTIF(B7:C7,B21)+COUNTIF(B7:C7,"*,"&amp;B21&amp;",*")+COUNTIF(E7:F7,B21)+COUNTIF(E7:F7,"*,"&amp;B21&amp;",*")+COUNTIF(H7:I7,B21)+COUNTIF(H7:I7,"*,"&amp;B21&amp;",*")+COUNTIF(K7:L7,B21)+COUNTIF(K7:L7,"*,"&amp;B21&amp;",*")+COUNTIF(N7:O7,B21)+COUNTIF(N7:O7,"*,"&amp;B21&amp;",*")+COUNTIF(B9:C9,B21)+COUNTIF(B9:C9,"*,"&amp;B21&amp;",*")+COUNTIF(E9:F9,B21)+COUNTIF(E9:F9,"*,"&amp;B21&amp;",*")+COUNTIF(H9:I9,B21)+COUNTIF(H9:I9,"*,"&amp;B21&amp;",*")+COUNTIF(K9:L9,B21)+COUNTIF(K9:L9,"*,"&amp;B21&amp;",*")+COUNTIF(N9:O9,B21)+COUNTIF(N9:O9,"*,"&amp;B21&amp;",*")+COUNTIF(B11:C11,B21)+COUNTIF(B11:C11,"*,"&amp;B21&amp;",*")+COUNTIF(E11:F11,B21)+COUNTIF(E11:F11,"*,"&amp;B21&amp;",*")+COUNTIF(H11:I11,B21)+COUNTIF(H11:I11,"*,"&amp;B21&amp;",*")+COUNTIF(K11:L11,B21)+COUNTIF(K11:L11,"*,"&amp;B21&amp;",*")+COUNTIF(N11:O11,B21)+COUNTIF(N11:O11,"*,"&amp;B21&amp;",*")+COUNTIF(B13:C13,B21)+COUNTIF(B13:C13,"*,"&amp;B21&amp;",*")+COUNTIF(E13:F13,B21)+COUNTIF(E13:F13,"*,"&amp;B21&amp;",*")+COUNTIF(H13:I13,B21)+COUNTIF(H13:I13,"*,"&amp;B21&amp;",*")+COUNTIF(K13:L13,B21)+COUNTIF(K13:L13,"*,"&amp;B21&amp;",*")+COUNTIF(N13:O13,B21)+COUNTIF(N13:O13,"*,"&amp;B21&amp;",*")+COUNTIF(B15:C15,B21)+COUNTIF(B15:C15,"*,"&amp;B21&amp;",*")+COUNTIF(E15:F15,B21)+COUNTIF(E15:F15,"*,"&amp;B21&amp;",*")+COUNTIF(H15:I15,B21)+COUNTIF(H15:I15,"*,"&amp;B21&amp;",*")+COUNTIF(K15:L15,B21)+COUNTIF(K15:L15,"*,"&amp;B21&amp;",*")+COUNTIF(N15:O15,B21)+COUNTIF(N15:O15,"*,"&amp;B21&amp;",*")+COUNTIF(B17:C17,B21)+COUNTIF(B17:C17,"*,"&amp;B21&amp;",*")+COUNTIF(E17:F17,B21)+COUNTIF(E17:F17,"*,"&amp;B21&amp;",*")+COUNTIF(H17:I17,B21)+COUNTIF(H17:I17,"*,"&amp;B21&amp;",*")+COUNTIF(K17:L17,B21)+COUNTIF(K17:L17,"*,"&amp;B21&amp;",*")+COUNTIF(N17:O17,B21)+COUNTIF(N17:O17,"*,"&amp;B21&amp;",*")=0,"",COUNTIF(B5:C5,B21)+COUNTIF(B5:C5,"*,"&amp;B21&amp;",*")+COUNTIF(E5:F5,B21)+COUNTIF(E5:F5,"*,"&amp;B21&amp;",*")+COUNTIF(H5:I5,B21)+COUNTIF(H5:I5,"*,"&amp;B21&amp;",*")+COUNTIF(K5:L5,B21)+COUNTIF(K5:L5,"*,"&amp;B21&amp;",*")+COUNTIF(N5:O5,B21)+COUNTIF(N5:O5,"*,"&amp;B21&amp;",*")+COUNTIF(B7:C7,B21)+COUNTIF(B7:C7,"*,"&amp;B21&amp;",*")+COUNTIF(E7:F7,B21)+COUNTIF(E7:F7,"*,"&amp;B21&amp;",*")+COUNTIF(H7:I7,B21)+COUNTIF(H7:I7,"*,"&amp;B21&amp;",*")+COUNTIF(K7:L7,B21)+COUNTIF(K7:L7,"*,"&amp;B21&amp;",*")+COUNTIF(N7:O7,B21)+COUNTIF(N7:O7,"*,"&amp;B21&amp;",*")+COUNTIF(B9:C9,B21)+COUNTIF(B9:C9,"*,"&amp;B21&amp;",*")+COUNTIF(E9:F9,B21)+COUNTIF(E9:F9,"*,"&amp;B21&amp;",*")+COUNTIF(H9:I9,B21)+COUNTIF(H9:I9,"*,"&amp;B21&amp;",*")+COUNTIF(K9:L9,B21)+COUNTIF(K9:L9,"*,"&amp;B21&amp;",*")+COUNTIF(N9:O9,B21)+COUNTIF(N9:O9,"*,"&amp;B21&amp;",*")+COUNTIF(B11:C11,B21)+COUNTIF(B11:C11,"*,"&amp;B21&amp;",*")+COUNTIF(E11:F11,B21)+COUNTIF(E11:F11,"*,"&amp;B21&amp;",*")+COUNTIF(H11:I11,B21)+COUNTIF(H11:I11,"*,"&amp;B21&amp;",*")+COUNTIF(K11:L11,B21)+COUNTIF(K11:L11,"*,"&amp;B21&amp;",*")+COUNTIF(N11:O11,B21)+COUNTIF(N11:O11,"*,"&amp;B21&amp;",*")+COUNTIF(B13:C13,B21)+COUNTIF(B13:C13,"*,"&amp;B21&amp;",*")+COUNTIF(E13:F13,B21)+COUNTIF(E13:F13,"*,"&amp;B21&amp;",*")+COUNTIF(H13:I13,B21)+COUNTIF(H13:I13,"*,"&amp;B21&amp;",*")+COUNTIF(K13:L13,B21)+COUNTIF(K13:L13,"*,"&amp;B21&amp;",*")+COUNTIF(N13:O13,B21)+COUNTIF(N13:O13,"*,"&amp;B21&amp;",*")+COUNTIF(B15:C15,B21)+COUNTIF(B15:C15,"*,"&amp;B21&amp;",*")+COUNTIF(E15:F15,B21)+COUNTIF(E15:F15,"*,"&amp;B21&amp;",*")+COUNTIF(H15:I15,B21)+COUNTIF(H15:I15,"*,"&amp;B21&amp;",*")+COUNTIF(K15:L15,B21)+COUNTIF(K15:L15,"*,"&amp;B21&amp;",*")+COUNTIF(N15:O15,B21)+COUNTIF(N15:O15,"*,"&amp;B21&amp;",*")+COUNTIF(B17:C17,B21)+COUNTIF(B17:C17,"*,"&amp;B21&amp;",*")+COUNTIF(E17:F17,B21)+COUNTIF(E17:F17,"*,"&amp;B21&amp;",*")+COUNTIF(H17:I17,B21)+COUNTIF(H17:I17,"*,"&amp;B21&amp;",*")+COUNTIF(K17:L17,B21)+COUNTIF(K17:L17,"*,"&amp;B21&amp;",*")+COUNTIF(N17:O17,B21)+COUNTIF(N17:O17,"*,"&amp;B21&amp;",*")))</f>
        <v/>
      </c>
      <c r="C24" s="21">
        <f>IF(C21="","",IF(COUNTIF(B5:C5,C21)+COUNTIF(B5:C5,"*,"&amp;C21&amp;",*")+COUNTIF(E5:F5,C21)+COUNTIF(E5:F5,"*,"&amp;C21&amp;",*")+COUNTIF(H5:I5,C21)+COUNTIF(H5:I5,"*,"&amp;C21&amp;",*")+COUNTIF(K5:L5,C21)+COUNTIF(K5:L5,"*,"&amp;C21&amp;",*")+COUNTIF(N5:O5,C21)+COUNTIF(N5:O5,"*,"&amp;C21&amp;",*")+COUNTIF(B7:C7,C21)+COUNTIF(B7:C7,"*,"&amp;C21&amp;",*")+COUNTIF(E7:F7,C21)+COUNTIF(E7:F7,"*,"&amp;C21&amp;",*")+COUNTIF(H7:I7,C21)+COUNTIF(H7:I7,"*,"&amp;C21&amp;",*")+COUNTIF(K7:L7,C21)+COUNTIF(K7:L7,"*,"&amp;C21&amp;",*")+COUNTIF(N7:O7,C21)+COUNTIF(N7:O7,"*,"&amp;C21&amp;",*")+COUNTIF(B9:C9,C21)+COUNTIF(B9:C9,"*,"&amp;C21&amp;",*")+COUNTIF(E9:F9,C21)+COUNTIF(E9:F9,"*,"&amp;C21&amp;",*")+COUNTIF(H9:I9,C21)+COUNTIF(H9:I9,"*,"&amp;C21&amp;",*")+COUNTIF(K9:L9,C21)+COUNTIF(K9:L9,"*,"&amp;C21&amp;",*")+COUNTIF(N9:O9,C21)+COUNTIF(N9:O9,"*,"&amp;C21&amp;",*")+COUNTIF(B11:C11,C21)+COUNTIF(B11:C11,"*,"&amp;C21&amp;",*")+COUNTIF(E11:F11,C21)+COUNTIF(E11:F11,"*,"&amp;C21&amp;",*")+COUNTIF(H11:I11,C21)+COUNTIF(H11:I11,"*,"&amp;C21&amp;",*")+COUNTIF(K11:L11,C21)+COUNTIF(K11:L11,"*,"&amp;C21&amp;",*")+COUNTIF(N11:O11,C21)+COUNTIF(N11:O11,"*,"&amp;C21&amp;",*")+COUNTIF(B13:C13,C21)+COUNTIF(B13:C13,"*,"&amp;C21&amp;",*")+COUNTIF(E13:F13,C21)+COUNTIF(E13:F13,"*,"&amp;C21&amp;",*")+COUNTIF(H13:I13,C21)+COUNTIF(H13:I13,"*,"&amp;C21&amp;",*")+COUNTIF(K13:L13,C21)+COUNTIF(K13:L13,"*,"&amp;C21&amp;",*")+COUNTIF(N13:O13,C21)+COUNTIF(N13:O13,"*,"&amp;C21&amp;",*")+COUNTIF(B15:C15,C21)+COUNTIF(B15:C15,"*,"&amp;C21&amp;",*")+COUNTIF(E15:F15,C21)+COUNTIF(E15:F15,"*,"&amp;C21&amp;",*")+COUNTIF(H15:I15,C21)+COUNTIF(H15:I15,"*,"&amp;C21&amp;",*")+COUNTIF(K15:L15,C21)+COUNTIF(K15:L15,"*,"&amp;C21&amp;",*")+COUNTIF(N15:O15,C21)+COUNTIF(N15:O15,"*,"&amp;C21&amp;",*")+COUNTIF(B17:C17,C21)+COUNTIF(B17:C17,"*,"&amp;C21&amp;",*")+COUNTIF(E17:F17,C21)+COUNTIF(E17:F17,"*,"&amp;C21&amp;",*")+COUNTIF(H17:I17,C21)+COUNTIF(H17:I17,"*,"&amp;C21&amp;",*")+COUNTIF(K17:L17,C21)+COUNTIF(K17:L17,"*,"&amp;C21&amp;",*")+COUNTIF(N17:O17,C21)+COUNTIF(N17:O17,"*,"&amp;C21&amp;",*")=0,"",COUNTIF(B5:C5,C21)+COUNTIF(B5:C5,"*,"&amp;C21&amp;",*")+COUNTIF(E5:F5,C21)+COUNTIF(E5:F5,"*,"&amp;C21&amp;",*")+COUNTIF(H5:I5,C21)+COUNTIF(H5:I5,"*,"&amp;C21&amp;",*")+COUNTIF(K5:L5,C21)+COUNTIF(K5:L5,"*,"&amp;C21&amp;",*")+COUNTIF(N5:O5,C21)+COUNTIF(N5:O5,"*,"&amp;C21&amp;",*")+COUNTIF(B7:C7,C21)+COUNTIF(B7:C7,"*,"&amp;C21&amp;",*")+COUNTIF(E7:F7,C21)+COUNTIF(E7:F7,"*,"&amp;C21&amp;",*")+COUNTIF(H7:I7,C21)+COUNTIF(H7:I7,"*,"&amp;C21&amp;",*")+COUNTIF(K7:L7,C21)+COUNTIF(K7:L7,"*,"&amp;C21&amp;",*")+COUNTIF(N7:O7,C21)+COUNTIF(N7:O7,"*,"&amp;C21&amp;",*")+COUNTIF(B9:C9,C21)+COUNTIF(B9:C9,"*,"&amp;C21&amp;",*")+COUNTIF(E9:F9,C21)+COUNTIF(E9:F9,"*,"&amp;C21&amp;",*")+COUNTIF(H9:I9,C21)+COUNTIF(H9:I9,"*,"&amp;C21&amp;",*")+COUNTIF(K9:L9,C21)+COUNTIF(K9:L9,"*,"&amp;C21&amp;",*")+COUNTIF(N9:O9,C21)+COUNTIF(N9:O9,"*,"&amp;C21&amp;",*")+COUNTIF(B11:C11,C21)+COUNTIF(B11:C11,"*,"&amp;C21&amp;",*")+COUNTIF(E11:F11,C21)+COUNTIF(E11:F11,"*,"&amp;C21&amp;",*")+COUNTIF(H11:I11,C21)+COUNTIF(H11:I11,"*,"&amp;C21&amp;",*")+COUNTIF(K11:L11,C21)+COUNTIF(K11:L11,"*,"&amp;C21&amp;",*")+COUNTIF(N11:O11,C21)+COUNTIF(N11:O11,"*,"&amp;C21&amp;",*")+COUNTIF(B13:C13,C21)+COUNTIF(B13:C13,"*,"&amp;C21&amp;",*")+COUNTIF(E13:F13,C21)+COUNTIF(E13:F13,"*,"&amp;C21&amp;",*")+COUNTIF(H13:I13,C21)+COUNTIF(H13:I13,"*,"&amp;C21&amp;",*")+COUNTIF(K13:L13,C21)+COUNTIF(K13:L13,"*,"&amp;C21&amp;",*")+COUNTIF(N13:O13,C21)+COUNTIF(N13:O13,"*,"&amp;C21&amp;",*")+COUNTIF(B15:C15,C21)+COUNTIF(B15:C15,"*,"&amp;C21&amp;",*")+COUNTIF(E15:F15,C21)+COUNTIF(E15:F15,"*,"&amp;C21&amp;",*")+COUNTIF(H15:I15,C21)+COUNTIF(H15:I15,"*,"&amp;C21&amp;",*")+COUNTIF(K15:L15,C21)+COUNTIF(K15:L15,"*,"&amp;C21&amp;",*")+COUNTIF(N15:O15,C21)+COUNTIF(N15:O15,"*,"&amp;C21&amp;",*")+COUNTIF(B17:C17,C21)+COUNTIF(B17:C17,"*,"&amp;C21&amp;",*")+COUNTIF(E17:F17,C21)+COUNTIF(E17:F17,"*,"&amp;C21&amp;",*")+COUNTIF(H17:I17,C21)+COUNTIF(H17:I17,"*,"&amp;C21&amp;",*")+COUNTIF(K17:L17,C21)+COUNTIF(K17:L17,"*,"&amp;C21&amp;",*")+COUNTIF(N17:O17,C21)+COUNTIF(N17:O17,"*,"&amp;C21&amp;",*")))</f>
        <v/>
      </c>
      <c r="D24" s="21">
        <f>IF(D21="","",IF(COUNTIF(B5:C5,D21)+COUNTIF(B5:C5,"*,"&amp;D21&amp;",*")+COUNTIF(E5:F5,D21)+COUNTIF(E5:F5,"*,"&amp;D21&amp;",*")+COUNTIF(H5:I5,D21)+COUNTIF(H5:I5,"*,"&amp;D21&amp;",*")+COUNTIF(K5:L5,D21)+COUNTIF(K5:L5,"*,"&amp;D21&amp;",*")+COUNTIF(N5:O5,D21)+COUNTIF(N5:O5,"*,"&amp;D21&amp;",*")+COUNTIF(B7:C7,D21)+COUNTIF(B7:C7,"*,"&amp;D21&amp;",*")+COUNTIF(E7:F7,D21)+COUNTIF(E7:F7,"*,"&amp;D21&amp;",*")+COUNTIF(H7:I7,D21)+COUNTIF(H7:I7,"*,"&amp;D21&amp;",*")+COUNTIF(K7:L7,D21)+COUNTIF(K7:L7,"*,"&amp;D21&amp;",*")+COUNTIF(N7:O7,D21)+COUNTIF(N7:O7,"*,"&amp;D21&amp;",*")+COUNTIF(B9:C9,D21)+COUNTIF(B9:C9,"*,"&amp;D21&amp;",*")+COUNTIF(E9:F9,D21)+COUNTIF(E9:F9,"*,"&amp;D21&amp;",*")+COUNTIF(H9:I9,D21)+COUNTIF(H9:I9,"*,"&amp;D21&amp;",*")+COUNTIF(K9:L9,D21)+COUNTIF(K9:L9,"*,"&amp;D21&amp;",*")+COUNTIF(N9:O9,D21)+COUNTIF(N9:O9,"*,"&amp;D21&amp;",*")+COUNTIF(B11:C11,D21)+COUNTIF(B11:C11,"*,"&amp;D21&amp;",*")+COUNTIF(E11:F11,D21)+COUNTIF(E11:F11,"*,"&amp;D21&amp;",*")+COUNTIF(H11:I11,D21)+COUNTIF(H11:I11,"*,"&amp;D21&amp;",*")+COUNTIF(K11:L11,D21)+COUNTIF(K11:L11,"*,"&amp;D21&amp;",*")+COUNTIF(N11:O11,D21)+COUNTIF(N11:O11,"*,"&amp;D21&amp;",*")+COUNTIF(B13:C13,D21)+COUNTIF(B13:C13,"*,"&amp;D21&amp;",*")+COUNTIF(E13:F13,D21)+COUNTIF(E13:F13,"*,"&amp;D21&amp;",*")+COUNTIF(H13:I13,D21)+COUNTIF(H13:I13,"*,"&amp;D21&amp;",*")+COUNTIF(K13:L13,D21)+COUNTIF(K13:L13,"*,"&amp;D21&amp;",*")+COUNTIF(N13:O13,D21)+COUNTIF(N13:O13,"*,"&amp;D21&amp;",*")+COUNTIF(B15:C15,D21)+COUNTIF(B15:C15,"*,"&amp;D21&amp;",*")+COUNTIF(E15:F15,D21)+COUNTIF(E15:F15,"*,"&amp;D21&amp;",*")+COUNTIF(H15:I15,D21)+COUNTIF(H15:I15,"*,"&amp;D21&amp;",*")+COUNTIF(K15:L15,D21)+COUNTIF(K15:L15,"*,"&amp;D21&amp;",*")+COUNTIF(N15:O15,D21)+COUNTIF(N15:O15,"*,"&amp;D21&amp;",*")+COUNTIF(B17:C17,D21)+COUNTIF(B17:C17,"*,"&amp;D21&amp;",*")+COUNTIF(E17:F17,D21)+COUNTIF(E17:F17,"*,"&amp;D21&amp;",*")+COUNTIF(H17:I17,D21)+COUNTIF(H17:I17,"*,"&amp;D21&amp;",*")+COUNTIF(K17:L17,D21)+COUNTIF(K17:L17,"*,"&amp;D21&amp;",*")+COUNTIF(N17:O17,D21)+COUNTIF(N17:O17,"*,"&amp;D21&amp;",*")=0,"",COUNTIF(B5:C5,D21)+COUNTIF(B5:C5,"*,"&amp;D21&amp;",*")+COUNTIF(E5:F5,D21)+COUNTIF(E5:F5,"*,"&amp;D21&amp;",*")+COUNTIF(H5:I5,D21)+COUNTIF(H5:I5,"*,"&amp;D21&amp;",*")+COUNTIF(K5:L5,D21)+COUNTIF(K5:L5,"*,"&amp;D21&amp;",*")+COUNTIF(N5:O5,D21)+COUNTIF(N5:O5,"*,"&amp;D21&amp;",*")+COUNTIF(B7:C7,D21)+COUNTIF(B7:C7,"*,"&amp;D21&amp;",*")+COUNTIF(E7:F7,D21)+COUNTIF(E7:F7,"*,"&amp;D21&amp;",*")+COUNTIF(H7:I7,D21)+COUNTIF(H7:I7,"*,"&amp;D21&amp;",*")+COUNTIF(K7:L7,D21)+COUNTIF(K7:L7,"*,"&amp;D21&amp;",*")+COUNTIF(N7:O7,D21)+COUNTIF(N7:O7,"*,"&amp;D21&amp;",*")+COUNTIF(B9:C9,D21)+COUNTIF(B9:C9,"*,"&amp;D21&amp;",*")+COUNTIF(E9:F9,D21)+COUNTIF(E9:F9,"*,"&amp;D21&amp;",*")+COUNTIF(H9:I9,D21)+COUNTIF(H9:I9,"*,"&amp;D21&amp;",*")+COUNTIF(K9:L9,D21)+COUNTIF(K9:L9,"*,"&amp;D21&amp;",*")+COUNTIF(N9:O9,D21)+COUNTIF(N9:O9,"*,"&amp;D21&amp;",*")+COUNTIF(B11:C11,D21)+COUNTIF(B11:C11,"*,"&amp;D21&amp;",*")+COUNTIF(E11:F11,D21)+COUNTIF(E11:F11,"*,"&amp;D21&amp;",*")+COUNTIF(H11:I11,D21)+COUNTIF(H11:I11,"*,"&amp;D21&amp;",*")+COUNTIF(K11:L11,D21)+COUNTIF(K11:L11,"*,"&amp;D21&amp;",*")+COUNTIF(N11:O11,D21)+COUNTIF(N11:O11,"*,"&amp;D21&amp;",*")+COUNTIF(B13:C13,D21)+COUNTIF(B13:C13,"*,"&amp;D21&amp;",*")+COUNTIF(E13:F13,D21)+COUNTIF(E13:F13,"*,"&amp;D21&amp;",*")+COUNTIF(H13:I13,D21)+COUNTIF(H13:I13,"*,"&amp;D21&amp;",*")+COUNTIF(K13:L13,D21)+COUNTIF(K13:L13,"*,"&amp;D21&amp;",*")+COUNTIF(N13:O13,D21)+COUNTIF(N13:O13,"*,"&amp;D21&amp;",*")+COUNTIF(B15:C15,D21)+COUNTIF(B15:C15,"*,"&amp;D21&amp;",*")+COUNTIF(E15:F15,D21)+COUNTIF(E15:F15,"*,"&amp;D21&amp;",*")+COUNTIF(H15:I15,D21)+COUNTIF(H15:I15,"*,"&amp;D21&amp;",*")+COUNTIF(K15:L15,D21)+COUNTIF(K15:L15,"*,"&amp;D21&amp;",*")+COUNTIF(N15:O15,D21)+COUNTIF(N15:O15,"*,"&amp;D21&amp;",*")+COUNTIF(B17:C17,D21)+COUNTIF(B17:C17,"*,"&amp;D21&amp;",*")+COUNTIF(E17:F17,D21)+COUNTIF(E17:F17,"*,"&amp;D21&amp;",*")+COUNTIF(H17:I17,D21)+COUNTIF(H17:I17,"*,"&amp;D21&amp;",*")+COUNTIF(K17:L17,D21)+COUNTIF(K17:L17,"*,"&amp;D21&amp;",*")+COUNTIF(N17:O17,D21)+COUNTIF(N17:O17,"*,"&amp;D21&amp;",*")))</f>
        <v/>
      </c>
      <c r="E24" s="21">
        <f>IF(E21="","",IF(COUNTIF(B5:C5,E21)+COUNTIF(B5:C5,"*,"&amp;E21&amp;",*")+COUNTIF(E5:F5,E21)+COUNTIF(E5:F5,"*,"&amp;E21&amp;",*")+COUNTIF(H5:I5,E21)+COUNTIF(H5:I5,"*,"&amp;E21&amp;",*")+COUNTIF(K5:L5,E21)+COUNTIF(K5:L5,"*,"&amp;E21&amp;",*")+COUNTIF(N5:O5,E21)+COUNTIF(N5:O5,"*,"&amp;E21&amp;",*")+COUNTIF(B7:C7,E21)+COUNTIF(B7:C7,"*,"&amp;E21&amp;",*")+COUNTIF(E7:F7,E21)+COUNTIF(E7:F7,"*,"&amp;E21&amp;",*")+COUNTIF(H7:I7,E21)+COUNTIF(H7:I7,"*,"&amp;E21&amp;",*")+COUNTIF(K7:L7,E21)+COUNTIF(K7:L7,"*,"&amp;E21&amp;",*")+COUNTIF(N7:O7,E21)+COUNTIF(N7:O7,"*,"&amp;E21&amp;",*")+COUNTIF(B9:C9,E21)+COUNTIF(B9:C9,"*,"&amp;E21&amp;",*")+COUNTIF(E9:F9,E21)+COUNTIF(E9:F9,"*,"&amp;E21&amp;",*")+COUNTIF(H9:I9,E21)+COUNTIF(H9:I9,"*,"&amp;E21&amp;",*")+COUNTIF(K9:L9,E21)+COUNTIF(K9:L9,"*,"&amp;E21&amp;",*")+COUNTIF(N9:O9,E21)+COUNTIF(N9:O9,"*,"&amp;E21&amp;",*")+COUNTIF(B11:C11,E21)+COUNTIF(B11:C11,"*,"&amp;E21&amp;",*")+COUNTIF(E11:F11,E21)+COUNTIF(E11:F11,"*,"&amp;E21&amp;",*")+COUNTIF(H11:I11,E21)+COUNTIF(H11:I11,"*,"&amp;E21&amp;",*")+COUNTIF(K11:L11,E21)+COUNTIF(K11:L11,"*,"&amp;E21&amp;",*")+COUNTIF(N11:O11,E21)+COUNTIF(N11:O11,"*,"&amp;E21&amp;",*")+COUNTIF(B13:C13,E21)+COUNTIF(B13:C13,"*,"&amp;E21&amp;",*")+COUNTIF(E13:F13,E21)+COUNTIF(E13:F13,"*,"&amp;E21&amp;",*")+COUNTIF(H13:I13,E21)+COUNTIF(H13:I13,"*,"&amp;E21&amp;",*")+COUNTIF(K13:L13,E21)+COUNTIF(K13:L13,"*,"&amp;E21&amp;",*")+COUNTIF(N13:O13,E21)+COUNTIF(N13:O13,"*,"&amp;E21&amp;",*")+COUNTIF(B15:C15,E21)+COUNTIF(B15:C15,"*,"&amp;E21&amp;",*")+COUNTIF(E15:F15,E21)+COUNTIF(E15:F15,"*,"&amp;E21&amp;",*")+COUNTIF(H15:I15,E21)+COUNTIF(H15:I15,"*,"&amp;E21&amp;",*")+COUNTIF(K15:L15,E21)+COUNTIF(K15:L15,"*,"&amp;E21&amp;",*")+COUNTIF(N15:O15,E21)+COUNTIF(N15:O15,"*,"&amp;E21&amp;",*")+COUNTIF(B17:C17,E21)+COUNTIF(B17:C17,"*,"&amp;E21&amp;",*")+COUNTIF(E17:F17,E21)+COUNTIF(E17:F17,"*,"&amp;E21&amp;",*")+COUNTIF(H17:I17,E21)+COUNTIF(H17:I17,"*,"&amp;E21&amp;",*")+COUNTIF(K17:L17,E21)+COUNTIF(K17:L17,"*,"&amp;E21&amp;",*")+COUNTIF(N17:O17,E21)+COUNTIF(N17:O17,"*,"&amp;E21&amp;",*")=0,"",COUNTIF(B5:C5,E21)+COUNTIF(B5:C5,"*,"&amp;E21&amp;",*")+COUNTIF(E5:F5,E21)+COUNTIF(E5:F5,"*,"&amp;E21&amp;",*")+COUNTIF(H5:I5,E21)+COUNTIF(H5:I5,"*,"&amp;E21&amp;",*")+COUNTIF(K5:L5,E21)+COUNTIF(K5:L5,"*,"&amp;E21&amp;",*")+COUNTIF(N5:O5,E21)+COUNTIF(N5:O5,"*,"&amp;E21&amp;",*")+COUNTIF(B7:C7,E21)+COUNTIF(B7:C7,"*,"&amp;E21&amp;",*")+COUNTIF(E7:F7,E21)+COUNTIF(E7:F7,"*,"&amp;E21&amp;",*")+COUNTIF(H7:I7,E21)+COUNTIF(H7:I7,"*,"&amp;E21&amp;",*")+COUNTIF(K7:L7,E21)+COUNTIF(K7:L7,"*,"&amp;E21&amp;",*")+COUNTIF(N7:O7,E21)+COUNTIF(N7:O7,"*,"&amp;E21&amp;",*")+COUNTIF(B9:C9,E21)+COUNTIF(B9:C9,"*,"&amp;E21&amp;",*")+COUNTIF(E9:F9,E21)+COUNTIF(E9:F9,"*,"&amp;E21&amp;",*")+COUNTIF(H9:I9,E21)+COUNTIF(H9:I9,"*,"&amp;E21&amp;",*")+COUNTIF(K9:L9,E21)+COUNTIF(K9:L9,"*,"&amp;E21&amp;",*")+COUNTIF(N9:O9,E21)+COUNTIF(N9:O9,"*,"&amp;E21&amp;",*")+COUNTIF(B11:C11,E21)+COUNTIF(B11:C11,"*,"&amp;E21&amp;",*")+COUNTIF(E11:F11,E21)+COUNTIF(E11:F11,"*,"&amp;E21&amp;",*")+COUNTIF(H11:I11,E21)+COUNTIF(H11:I11,"*,"&amp;E21&amp;",*")+COUNTIF(K11:L11,E21)+COUNTIF(K11:L11,"*,"&amp;E21&amp;",*")+COUNTIF(N11:O11,E21)+COUNTIF(N11:O11,"*,"&amp;E21&amp;",*")+COUNTIF(B13:C13,E21)+COUNTIF(B13:C13,"*,"&amp;E21&amp;",*")+COUNTIF(E13:F13,E21)+COUNTIF(E13:F13,"*,"&amp;E21&amp;",*")+COUNTIF(H13:I13,E21)+COUNTIF(H13:I13,"*,"&amp;E21&amp;",*")+COUNTIF(K13:L13,E21)+COUNTIF(K13:L13,"*,"&amp;E21&amp;",*")+COUNTIF(N13:O13,E21)+COUNTIF(N13:O13,"*,"&amp;E21&amp;",*")+COUNTIF(B15:C15,E21)+COUNTIF(B15:C15,"*,"&amp;E21&amp;",*")+COUNTIF(E15:F15,E21)+COUNTIF(E15:F15,"*,"&amp;E21&amp;",*")+COUNTIF(H15:I15,E21)+COUNTIF(H15:I15,"*,"&amp;E21&amp;",*")+COUNTIF(K15:L15,E21)+COUNTIF(K15:L15,"*,"&amp;E21&amp;",*")+COUNTIF(N15:O15,E21)+COUNTIF(N15:O15,"*,"&amp;E21&amp;",*")+COUNTIF(B17:C17,E21)+COUNTIF(B17:C17,"*,"&amp;E21&amp;",*")+COUNTIF(E17:F17,E21)+COUNTIF(E17:F17,"*,"&amp;E21&amp;",*")+COUNTIF(H17:I17,E21)+COUNTIF(H17:I17,"*,"&amp;E21&amp;",*")+COUNTIF(K17:L17,E21)+COUNTIF(K17:L17,"*,"&amp;E21&amp;",*")+COUNTIF(N17:O17,E21)+COUNTIF(N17:O17,"*,"&amp;E21&amp;",*")))</f>
        <v/>
      </c>
      <c r="F24" s="21">
        <f>IF(F21="","",IF(COUNTIF(B5:C5,F21)+COUNTIF(B5:C5,"*,"&amp;F21&amp;",*")+COUNTIF(E5:F5,F21)+COUNTIF(E5:F5,"*,"&amp;F21&amp;",*")+COUNTIF(H5:I5,F21)+COUNTIF(H5:I5,"*,"&amp;F21&amp;",*")+COUNTIF(K5:L5,F21)+COUNTIF(K5:L5,"*,"&amp;F21&amp;",*")+COUNTIF(N5:O5,F21)+COUNTIF(N5:O5,"*,"&amp;F21&amp;",*")+COUNTIF(B7:C7,F21)+COUNTIF(B7:C7,"*,"&amp;F21&amp;",*")+COUNTIF(E7:F7,F21)+COUNTIF(E7:F7,"*,"&amp;F21&amp;",*")+COUNTIF(H7:I7,F21)+COUNTIF(H7:I7,"*,"&amp;F21&amp;",*")+COUNTIF(K7:L7,F21)+COUNTIF(K7:L7,"*,"&amp;F21&amp;",*")+COUNTIF(N7:O7,F21)+COUNTIF(N7:O7,"*,"&amp;F21&amp;",*")+COUNTIF(B9:C9,F21)+COUNTIF(B9:C9,"*,"&amp;F21&amp;",*")+COUNTIF(E9:F9,F21)+COUNTIF(E9:F9,"*,"&amp;F21&amp;",*")+COUNTIF(H9:I9,F21)+COUNTIF(H9:I9,"*,"&amp;F21&amp;",*")+COUNTIF(K9:L9,F21)+COUNTIF(K9:L9,"*,"&amp;F21&amp;",*")+COUNTIF(N9:O9,F21)+COUNTIF(N9:O9,"*,"&amp;F21&amp;",*")+COUNTIF(B11:C11,F21)+COUNTIF(B11:C11,"*,"&amp;F21&amp;",*")+COUNTIF(E11:F11,F21)+COUNTIF(E11:F11,"*,"&amp;F21&amp;",*")+COUNTIF(H11:I11,F21)+COUNTIF(H11:I11,"*,"&amp;F21&amp;",*")+COUNTIF(K11:L11,F21)+COUNTIF(K11:L11,"*,"&amp;F21&amp;",*")+COUNTIF(N11:O11,F21)+COUNTIF(N11:O11,"*,"&amp;F21&amp;",*")+COUNTIF(B13:C13,F21)+COUNTIF(B13:C13,"*,"&amp;F21&amp;",*")+COUNTIF(E13:F13,F21)+COUNTIF(E13:F13,"*,"&amp;F21&amp;",*")+COUNTIF(H13:I13,F21)+COUNTIF(H13:I13,"*,"&amp;F21&amp;",*")+COUNTIF(K13:L13,F21)+COUNTIF(K13:L13,"*,"&amp;F21&amp;",*")+COUNTIF(N13:O13,F21)+COUNTIF(N13:O13,"*,"&amp;F21&amp;",*")+COUNTIF(B15:C15,F21)+COUNTIF(B15:C15,"*,"&amp;F21&amp;",*")+COUNTIF(E15:F15,F21)+COUNTIF(E15:F15,"*,"&amp;F21&amp;",*")+COUNTIF(H15:I15,F21)+COUNTIF(H15:I15,"*,"&amp;F21&amp;",*")+COUNTIF(K15:L15,F21)+COUNTIF(K15:L15,"*,"&amp;F21&amp;",*")+COUNTIF(N15:O15,F21)+COUNTIF(N15:O15,"*,"&amp;F21&amp;",*")+COUNTIF(B17:C17,F21)+COUNTIF(B17:C17,"*,"&amp;F21&amp;",*")+COUNTIF(E17:F17,F21)+COUNTIF(E17:F17,"*,"&amp;F21&amp;",*")+COUNTIF(H17:I17,F21)+COUNTIF(H17:I17,"*,"&amp;F21&amp;",*")+COUNTIF(K17:L17,F21)+COUNTIF(K17:L17,"*,"&amp;F21&amp;",*")+COUNTIF(N17:O17,F21)+COUNTIF(N17:O17,"*,"&amp;F21&amp;",*")=0,"",COUNTIF(B5:C5,F21)+COUNTIF(B5:C5,"*,"&amp;F21&amp;",*")+COUNTIF(E5:F5,F21)+COUNTIF(E5:F5,"*,"&amp;F21&amp;",*")+COUNTIF(H5:I5,F21)+COUNTIF(H5:I5,"*,"&amp;F21&amp;",*")+COUNTIF(K5:L5,F21)+COUNTIF(K5:L5,"*,"&amp;F21&amp;",*")+COUNTIF(N5:O5,F21)+COUNTIF(N5:O5,"*,"&amp;F21&amp;",*")+COUNTIF(B7:C7,F21)+COUNTIF(B7:C7,"*,"&amp;F21&amp;",*")+COUNTIF(E7:F7,F21)+COUNTIF(E7:F7,"*,"&amp;F21&amp;",*")+COUNTIF(H7:I7,F21)+COUNTIF(H7:I7,"*,"&amp;F21&amp;",*")+COUNTIF(K7:L7,F21)+COUNTIF(K7:L7,"*,"&amp;F21&amp;",*")+COUNTIF(N7:O7,F21)+COUNTIF(N7:O7,"*,"&amp;F21&amp;",*")+COUNTIF(B9:C9,F21)+COUNTIF(B9:C9,"*,"&amp;F21&amp;",*")+COUNTIF(E9:F9,F21)+COUNTIF(E9:F9,"*,"&amp;F21&amp;",*")+COUNTIF(H9:I9,F21)+COUNTIF(H9:I9,"*,"&amp;F21&amp;",*")+COUNTIF(K9:L9,F21)+COUNTIF(K9:L9,"*,"&amp;F21&amp;",*")+COUNTIF(N9:O9,F21)+COUNTIF(N9:O9,"*,"&amp;F21&amp;",*")+COUNTIF(B11:C11,F21)+COUNTIF(B11:C11,"*,"&amp;F21&amp;",*")+COUNTIF(E11:F11,F21)+COUNTIF(E11:F11,"*,"&amp;F21&amp;",*")+COUNTIF(H11:I11,F21)+COUNTIF(H11:I11,"*,"&amp;F21&amp;",*")+COUNTIF(K11:L11,F21)+COUNTIF(K11:L11,"*,"&amp;F21&amp;",*")+COUNTIF(N11:O11,F21)+COUNTIF(N11:O11,"*,"&amp;F21&amp;",*")+COUNTIF(B13:C13,F21)+COUNTIF(B13:C13,"*,"&amp;F21&amp;",*")+COUNTIF(E13:F13,F21)+COUNTIF(E13:F13,"*,"&amp;F21&amp;",*")+COUNTIF(H13:I13,F21)+COUNTIF(H13:I13,"*,"&amp;F21&amp;",*")+COUNTIF(K13:L13,F21)+COUNTIF(K13:L13,"*,"&amp;F21&amp;",*")+COUNTIF(N13:O13,F21)+COUNTIF(N13:O13,"*,"&amp;F21&amp;",*")+COUNTIF(B15:C15,F21)+COUNTIF(B15:C15,"*,"&amp;F21&amp;",*")+COUNTIF(E15:F15,F21)+COUNTIF(E15:F15,"*,"&amp;F21&amp;",*")+COUNTIF(H15:I15,F21)+COUNTIF(H15:I15,"*,"&amp;F21&amp;",*")+COUNTIF(K15:L15,F21)+COUNTIF(K15:L15,"*,"&amp;F21&amp;",*")+COUNTIF(N15:O15,F21)+COUNTIF(N15:O15,"*,"&amp;F21&amp;",*")+COUNTIF(B17:C17,F21)+COUNTIF(B17:C17,"*,"&amp;F21&amp;",*")+COUNTIF(E17:F17,F21)+COUNTIF(E17:F17,"*,"&amp;F21&amp;",*")+COUNTIF(H17:I17,F21)+COUNTIF(H17:I17,"*,"&amp;F21&amp;",*")+COUNTIF(K17:L17,F21)+COUNTIF(K17:L17,"*,"&amp;F21&amp;",*")+COUNTIF(N17:O17,F21)+COUNTIF(N17:O17,"*,"&amp;F21&amp;",*")))</f>
        <v/>
      </c>
      <c r="G24" s="21">
        <f>IF(G21="","",IF(COUNTIF(B5:C5,G21)+COUNTIF(B5:C5,"*,"&amp;G21&amp;",*")+COUNTIF(E5:F5,G21)+COUNTIF(E5:F5,"*,"&amp;G21&amp;",*")+COUNTIF(H5:I5,G21)+COUNTIF(H5:I5,"*,"&amp;G21&amp;",*")+COUNTIF(K5:L5,G21)+COUNTIF(K5:L5,"*,"&amp;G21&amp;",*")+COUNTIF(N5:O5,G21)+COUNTIF(N5:O5,"*,"&amp;G21&amp;",*")+COUNTIF(B7:C7,G21)+COUNTIF(B7:C7,"*,"&amp;G21&amp;",*")+COUNTIF(E7:F7,G21)+COUNTIF(E7:F7,"*,"&amp;G21&amp;",*")+COUNTIF(H7:I7,G21)+COUNTIF(H7:I7,"*,"&amp;G21&amp;",*")+COUNTIF(K7:L7,G21)+COUNTIF(K7:L7,"*,"&amp;G21&amp;",*")+COUNTIF(N7:O7,G21)+COUNTIF(N7:O7,"*,"&amp;G21&amp;",*")+COUNTIF(B9:C9,G21)+COUNTIF(B9:C9,"*,"&amp;G21&amp;",*")+COUNTIF(E9:F9,G21)+COUNTIF(E9:F9,"*,"&amp;G21&amp;",*")+COUNTIF(H9:I9,G21)+COUNTIF(H9:I9,"*,"&amp;G21&amp;",*")+COUNTIF(K9:L9,G21)+COUNTIF(K9:L9,"*,"&amp;G21&amp;",*")+COUNTIF(N9:O9,G21)+COUNTIF(N9:O9,"*,"&amp;G21&amp;",*")+COUNTIF(B11:C11,G21)+COUNTIF(B11:C11,"*,"&amp;G21&amp;",*")+COUNTIF(E11:F11,G21)+COUNTIF(E11:F11,"*,"&amp;G21&amp;",*")+COUNTIF(H11:I11,G21)+COUNTIF(H11:I11,"*,"&amp;G21&amp;",*")+COUNTIF(K11:L11,G21)+COUNTIF(K11:L11,"*,"&amp;G21&amp;",*")+COUNTIF(N11:O11,G21)+COUNTIF(N11:O11,"*,"&amp;G21&amp;",*")+COUNTIF(B13:C13,G21)+COUNTIF(B13:C13,"*,"&amp;G21&amp;",*")+COUNTIF(E13:F13,G21)+COUNTIF(E13:F13,"*,"&amp;G21&amp;",*")+COUNTIF(H13:I13,G21)+COUNTIF(H13:I13,"*,"&amp;G21&amp;",*")+COUNTIF(K13:L13,G21)+COUNTIF(K13:L13,"*,"&amp;G21&amp;",*")+COUNTIF(N13:O13,G21)+COUNTIF(N13:O13,"*,"&amp;G21&amp;",*")+COUNTIF(B15:C15,G21)+COUNTIF(B15:C15,"*,"&amp;G21&amp;",*")+COUNTIF(E15:F15,G21)+COUNTIF(E15:F15,"*,"&amp;G21&amp;",*")+COUNTIF(H15:I15,G21)+COUNTIF(H15:I15,"*,"&amp;G21&amp;",*")+COUNTIF(K15:L15,G21)+COUNTIF(K15:L15,"*,"&amp;G21&amp;",*")+COUNTIF(N15:O15,G21)+COUNTIF(N15:O15,"*,"&amp;G21&amp;",*")+COUNTIF(B17:C17,G21)+COUNTIF(B17:C17,"*,"&amp;G21&amp;",*")+COUNTIF(E17:F17,G21)+COUNTIF(E17:F17,"*,"&amp;G21&amp;",*")+COUNTIF(H17:I17,G21)+COUNTIF(H17:I17,"*,"&amp;G21&amp;",*")+COUNTIF(K17:L17,G21)+COUNTIF(K17:L17,"*,"&amp;G21&amp;",*")+COUNTIF(N17:O17,G21)+COUNTIF(N17:O17,"*,"&amp;G21&amp;",*")=0,"",COUNTIF(B5:C5,G21)+COUNTIF(B5:C5,"*,"&amp;G21&amp;",*")+COUNTIF(E5:F5,G21)+COUNTIF(E5:F5,"*,"&amp;G21&amp;",*")+COUNTIF(H5:I5,G21)+COUNTIF(H5:I5,"*,"&amp;G21&amp;",*")+COUNTIF(K5:L5,G21)+COUNTIF(K5:L5,"*,"&amp;G21&amp;",*")+COUNTIF(N5:O5,G21)+COUNTIF(N5:O5,"*,"&amp;G21&amp;",*")+COUNTIF(B7:C7,G21)+COUNTIF(B7:C7,"*,"&amp;G21&amp;",*")+COUNTIF(E7:F7,G21)+COUNTIF(E7:F7,"*,"&amp;G21&amp;",*")+COUNTIF(H7:I7,G21)+COUNTIF(H7:I7,"*,"&amp;G21&amp;",*")+COUNTIF(K7:L7,G21)+COUNTIF(K7:L7,"*,"&amp;G21&amp;",*")+COUNTIF(N7:O7,G21)+COUNTIF(N7:O7,"*,"&amp;G21&amp;",*")+COUNTIF(B9:C9,G21)+COUNTIF(B9:C9,"*,"&amp;G21&amp;",*")+COUNTIF(E9:F9,G21)+COUNTIF(E9:F9,"*,"&amp;G21&amp;",*")+COUNTIF(H9:I9,G21)+COUNTIF(H9:I9,"*,"&amp;G21&amp;",*")+COUNTIF(K9:L9,G21)+COUNTIF(K9:L9,"*,"&amp;G21&amp;",*")+COUNTIF(N9:O9,G21)+COUNTIF(N9:O9,"*,"&amp;G21&amp;",*")+COUNTIF(B11:C11,G21)+COUNTIF(B11:C11,"*,"&amp;G21&amp;",*")+COUNTIF(E11:F11,G21)+COUNTIF(E11:F11,"*,"&amp;G21&amp;",*")+COUNTIF(H11:I11,G21)+COUNTIF(H11:I11,"*,"&amp;G21&amp;",*")+COUNTIF(K11:L11,G21)+COUNTIF(K11:L11,"*,"&amp;G21&amp;",*")+COUNTIF(N11:O11,G21)+COUNTIF(N11:O11,"*,"&amp;G21&amp;",*")+COUNTIF(B13:C13,G21)+COUNTIF(B13:C13,"*,"&amp;G21&amp;",*")+COUNTIF(E13:F13,G21)+COUNTIF(E13:F13,"*,"&amp;G21&amp;",*")+COUNTIF(H13:I13,G21)+COUNTIF(H13:I13,"*,"&amp;G21&amp;",*")+COUNTIF(K13:L13,G21)+COUNTIF(K13:L13,"*,"&amp;G21&amp;",*")+COUNTIF(N13:O13,G21)+COUNTIF(N13:O13,"*,"&amp;G21&amp;",*")+COUNTIF(B15:C15,G21)+COUNTIF(B15:C15,"*,"&amp;G21&amp;",*")+COUNTIF(E15:F15,G21)+COUNTIF(E15:F15,"*,"&amp;G21&amp;",*")+COUNTIF(H15:I15,G21)+COUNTIF(H15:I15,"*,"&amp;G21&amp;",*")+COUNTIF(K15:L15,G21)+COUNTIF(K15:L15,"*,"&amp;G21&amp;",*")+COUNTIF(N15:O15,G21)+COUNTIF(N15:O15,"*,"&amp;G21&amp;",*")+COUNTIF(B17:C17,G21)+COUNTIF(B17:C17,"*,"&amp;G21&amp;",*")+COUNTIF(E17:F17,G21)+COUNTIF(E17:F17,"*,"&amp;G21&amp;",*")+COUNTIF(H17:I17,G21)+COUNTIF(H17:I17,"*,"&amp;G21&amp;",*")+COUNTIF(K17:L17,G21)+COUNTIF(K17:L17,"*,"&amp;G21&amp;",*")+COUNTIF(N17:O17,G21)+COUNTIF(N17:O17,"*,"&amp;G21&amp;",*")))</f>
        <v/>
      </c>
      <c r="H24" s="21"/>
      <c r="I24" s="21"/>
      <c r="J24" s="21"/>
      <c r="K24" s="21"/>
      <c r="L24" s="21"/>
      <c r="M24" s="21">
        <f>IF(COUNTIF(B5:C5,"特活")+COUNTIF(B5:C5,"学活")+COUNTIF(E5:F5,"特活")+COUNTIF(E5:F5,"学活")+COUNTIF(H5:I5,"特活")+COUNTIF(H5:I5,"学活")+COUNTIF(K5:L5,"特活")+COUNTIF(K5:L5,"学活")+COUNTIF(N5:O5,"特活")+COUNTIF(N5:O5,"学活")+COUNTIF(B7:C7,"特活")+COUNTIF(B7:C7,"学活")+COUNTIF(E7:F7,"特活")+COUNTIF(E7:F7,"学活")+COUNTIF(H7:I7,"特活")+COUNTIF(H7:I7,"学活")+COUNTIF(K7:L7,"特活")+COUNTIF(K7:L7,"学活")+COUNTIF(N7:O7,"特活")+COUNTIF(N7:O7,"学活")+COUNTIF(B9:C9,"特活")+COUNTIF(B9:C9,"学活")+COUNTIF(E9:F9,"特活")+COUNTIF(E9:F9,"学活")+COUNTIF(H9:I9,"特活")+COUNTIF(H9:I9,"学活")+COUNTIF(K9:L9,"特活")+COUNTIF(K9:L9,"学活")+COUNTIF(N9:O9,"特活")+COUNTIF(N9:O9,"学活")+COUNTIF(B11:C11,"特活")+COUNTIF(B11:C11,"学活")+COUNTIF(E11:F11,"特活")+COUNTIF(E11:F11,"学活")+COUNTIF(H11:I11,"特活")+COUNTIF(H11:I11,"学活")+COUNTIF(K11:L11,"特活")+COUNTIF(K11:L11,"学活")+COUNTIF(N11:O11,"特活")+COUNTIF(N11:O11,"学活")+COUNTIF(B13:C13,"特活")+COUNTIF(B13:C13,"学活")+COUNTIF(E13:F13,"特活")+COUNTIF(E13:F13,"学活")+COUNTIF(H13:I13,"特活")+COUNTIF(H13:I13,"学活")+COUNTIF(K13:L13,"特活")+COUNTIF(K13:L13,"学活")+COUNTIF(N13:O13,"特活")+COUNTIF(N13:O13,"学活")+COUNTIF(B15:C15,"特活")+COUNTIF(B15:C15,"学活")+COUNTIF(E15:F15,"特活")+COUNTIF(E15:F15,"学活")+COUNTIF(H15:I15,"特活")+COUNTIF(H15:I15,"学活")+COUNTIF(K15:L15,"特活")+COUNTIF(K15:L15,"学活")+COUNTIF(N15:O15,"特活")+COUNTIF(N15:O15,"学活")+COUNTIF(B17:C17,"特活")+COUNTIF(B17:C17,"学活")+COUNTIF(E17:F17,"特活")+COUNTIF(E17:F17,"学活")+COUNTIF(H17:I17,"特活")+COUNTIF(H17:I17,"学活")+COUNTIF(K17:L17,"特活")+COUNTIF(K17:L17,"学活")+COUNTIF(N17:O17,"特活")+COUNTIF(N17:O17,"学活")=0,"",COUNTIF(B5:C5,"特活")+COUNTIF(B5:C5,"学活")+COUNTIF(E5:F5,"特活")+COUNTIF(E5:F5,"学活")+COUNTIF(H5:I5,"特活")+COUNTIF(H5:I5,"学活")+COUNTIF(K5:L5,"特活")+COUNTIF(K5:L5,"学活")+COUNTIF(N5:O5,"特活")+COUNTIF(N5:O5,"学活")+COUNTIF(B7:C7,"特活")+COUNTIF(B7:C7,"学活")+COUNTIF(E7:F7,"特活")+COUNTIF(E7:F7,"学活")+COUNTIF(H7:I7,"特活")+COUNTIF(H7:I7,"学活")+COUNTIF(K7:L7,"特活")+COUNTIF(K7:L7,"学活")+COUNTIF(N7:O7,"特活")+COUNTIF(N7:O7,"学活")+COUNTIF(B9:C9,"特活")+COUNTIF(B9:C9,"学活")+COUNTIF(E9:F9,"特活")+COUNTIF(E9:F9,"学活")+COUNTIF(H9:I9,"特活")+COUNTIF(H9:I9,"学活")+COUNTIF(K9:L9,"特活")+COUNTIF(K9:L9,"学活")+COUNTIF(N9:O9,"特活")+COUNTIF(N9:O9,"学活")+COUNTIF(B11:C11,"特活")+COUNTIF(B11:C11,"学活")+COUNTIF(E11:F11,"特活")+COUNTIF(E11:F11,"学活")+COUNTIF(H11:I11,"特活")+COUNTIF(H11:I11,"学活")+COUNTIF(K11:L11,"特活")+COUNTIF(K11:L11,"学活")+COUNTIF(N11:O11,"特活")+COUNTIF(N11:O11,"学活")+COUNTIF(B13:C13,"特活")+COUNTIF(B13:C13,"学活")+COUNTIF(E13:F13,"特活")+COUNTIF(E13:F13,"学活")+COUNTIF(H13:I13,"特活")+COUNTIF(H13:I13,"学活")+COUNTIF(K13:L13,"特活")+COUNTIF(K13:L13,"学活")+COUNTIF(N13:O13,"特活")+COUNTIF(N13:O13,"学活")+COUNTIF(B15:C15,"特活")+COUNTIF(B15:C15,"学活")+COUNTIF(E15:F15,"特活")+COUNTIF(E15:F15,"学活")+COUNTIF(H15:I15,"特活")+COUNTIF(H15:I15,"学活")+COUNTIF(K15:L15,"特活")+COUNTIF(K15:L15,"学活")+COUNTIF(N15:O15,"特活")+COUNTIF(N15:O15,"学活")+COUNTIF(B17:C17,"特活")+COUNTIF(B17:C17,"学活")+COUNTIF(E17:F17,"特活")+COUNTIF(E17:F17,"学活")+COUNTIF(H17:I17,"特活")+COUNTIF(H17:I17,"学活")+COUNTIF(K17:L17,"特活")+COUNTIF(K17:L17,"学活")+COUNTIF(N17:O17,"特活")+COUNTIF(N17:O17,"学活"))</f>
        <v/>
      </c>
      <c r="N24" s="21">
        <f>IF(COUNTIF(B5:C5,N21)+COUNTIF(B5:C5,"*,"&amp;N21&amp;",*")+COUNTIF(E5:F5,N21)+COUNTIF(E5:F5,"*,"&amp;N21&amp;",*")+COUNTIF(H5:I5,N21)+COUNTIF(H5:I5,"*,"&amp;N21&amp;",*")+COUNTIF(K5:L5,N21)+COUNTIF(K5:L5,"*,"&amp;N21&amp;",*")+COUNTIF(N5:O5,N21)+COUNTIF(N5:O5,"*,"&amp;N21&amp;",*")+COUNTIF(B7:C7,N21)+COUNTIF(B7:C7,"*,"&amp;N21&amp;",*")+COUNTIF(E7:F7,N21)+COUNTIF(E7:F7,"*,"&amp;N21&amp;",*")+COUNTIF(H7:I7,N21)+COUNTIF(H7:I7,"*,"&amp;N21&amp;",*")+COUNTIF(K7:L7,N21)+COUNTIF(K7:L7,"*,"&amp;N21&amp;",*")+COUNTIF(N7:O7,N21)+COUNTIF(N7:O7,"*,"&amp;N21&amp;",*")+COUNTIF(B9:C9,N21)+COUNTIF(B9:C9,"*,"&amp;N21&amp;",*")+COUNTIF(E9:F9,N21)+COUNTIF(E9:F9,"*,"&amp;N21&amp;",*")+COUNTIF(H9:I9,N21)+COUNTIF(H9:I9,"*,"&amp;N21&amp;",*")+COUNTIF(K9:L9,N21)+COUNTIF(K9:L9,"*,"&amp;N21&amp;",*")+COUNTIF(N9:O9,N21)+COUNTIF(N9:O9,"*,"&amp;N21&amp;",*")+COUNTIF(B11:C11,N21)+COUNTIF(B11:C11,"*,"&amp;N21&amp;",*")+COUNTIF(E11:F11,N21)+COUNTIF(E11:F11,"*,"&amp;N21&amp;",*")+COUNTIF(H11:I11,N21)+COUNTIF(H11:I11,"*,"&amp;N21&amp;",*")+COUNTIF(K11:L11,N21)+COUNTIF(K11:L11,"*,"&amp;N21&amp;",*")+COUNTIF(N11:O11,N21)+COUNTIF(N11:O11,"*,"&amp;N21&amp;",*")+COUNTIF(B13:C13,N21)+COUNTIF(B13:C13,"*,"&amp;N21&amp;",*")+COUNTIF(E13:F13,N21)+COUNTIF(E13:F13,"*,"&amp;N21&amp;",*")+COUNTIF(H13:I13,N21)+COUNTIF(H13:I13,"*,"&amp;N21&amp;",*")+COUNTIF(K13:L13,N21)+COUNTIF(K13:L13,"*,"&amp;N21&amp;",*")+COUNTIF(N13:O13,N21)+COUNTIF(N13:O13,"*,"&amp;N21&amp;",*")+COUNTIF(B15:C15,N21)+COUNTIF(B15:C15,"*,"&amp;N21&amp;",*")+COUNTIF(E15:F15,N21)+COUNTIF(E15:F15,"*,"&amp;N21&amp;",*")+COUNTIF(H15:I15,N21)+COUNTIF(H15:I15,"*,"&amp;N21&amp;",*")+COUNTIF(K15:L15,N21)+COUNTIF(K15:L15,"*,"&amp;N21&amp;",*")+COUNTIF(N15:O15,N21)+COUNTIF(N15:O15,"*,"&amp;N21&amp;",*")+COUNTIF(B17:C17,N21)+COUNTIF(B17:C17,"*,"&amp;N21&amp;",*")+COUNTIF(E17:F17,N21)+COUNTIF(E17:F17,"*,"&amp;N21&amp;",*")+COUNTIF(H17:I17,N21)+COUNTIF(H17:I17,"*,"&amp;N21&amp;",*")+COUNTIF(K17:L17,N21)+COUNTIF(K17:L17,"*,"&amp;N21&amp;",*")+COUNTIF(N17:O17,N21)+COUNTIF(N17:O17,"*,"&amp;N21&amp;",*")=0,"",COUNTIF(B5:C5,N21)+COUNTIF(B5:C5,"*,"&amp;N21&amp;",*")+COUNTIF(E5:F5,N21)+COUNTIF(E5:F5,"*,"&amp;N21&amp;",*")+COUNTIF(H5:I5,N21)+COUNTIF(H5:I5,"*,"&amp;N21&amp;",*")+COUNTIF(K5:L5,N21)+COUNTIF(K5:L5,"*,"&amp;N21&amp;",*")+COUNTIF(N5:O5,N21)+COUNTIF(N5:O5,"*,"&amp;N21&amp;",*")+COUNTIF(B7:C7,N21)+COUNTIF(B7:C7,"*,"&amp;N21&amp;",*")+COUNTIF(E7:F7,N21)+COUNTIF(E7:F7,"*,"&amp;N21&amp;",*")+COUNTIF(H7:I7,N21)+COUNTIF(H7:I7,"*,"&amp;N21&amp;",*")+COUNTIF(K7:L7,N21)+COUNTIF(K7:L7,"*,"&amp;N21&amp;",*")+COUNTIF(N7:O7,N21)+COUNTIF(N7:O7,"*,"&amp;N21&amp;",*")+COUNTIF(B9:C9,N21)+COUNTIF(B9:C9,"*,"&amp;N21&amp;",*")+COUNTIF(E9:F9,N21)+COUNTIF(E9:F9,"*,"&amp;N21&amp;",*")+COUNTIF(H9:I9,N21)+COUNTIF(H9:I9,"*,"&amp;N21&amp;",*")+COUNTIF(K9:L9,N21)+COUNTIF(K9:L9,"*,"&amp;N21&amp;",*")+COUNTIF(N9:O9,N21)+COUNTIF(N9:O9,"*,"&amp;N21&amp;",*")+COUNTIF(B11:C11,N21)+COUNTIF(B11:C11,"*,"&amp;N21&amp;",*")+COUNTIF(E11:F11,N21)+COUNTIF(E11:F11,"*,"&amp;N21&amp;",*")+COUNTIF(H11:I11,N21)+COUNTIF(H11:I11,"*,"&amp;N21&amp;",*")+COUNTIF(K11:L11,N21)+COUNTIF(K11:L11,"*,"&amp;N21&amp;",*")+COUNTIF(N11:O11,N21)+COUNTIF(N11:O11,"*,"&amp;N21&amp;",*")+COUNTIF(B13:C13,N21)+COUNTIF(B13:C13,"*,"&amp;N21&amp;",*")+COUNTIF(E13:F13,N21)+COUNTIF(E13:F13,"*,"&amp;N21&amp;",*")+COUNTIF(H13:I13,N21)+COUNTIF(H13:I13,"*,"&amp;N21&amp;",*")+COUNTIF(K13:L13,N21)+COUNTIF(K13:L13,"*,"&amp;N21&amp;",*")+COUNTIF(N13:O13,N21)+COUNTIF(N13:O13,"*,"&amp;N21&amp;",*")+COUNTIF(B15:C15,N21)+COUNTIF(B15:C15,"*,"&amp;N21&amp;",*")+COUNTIF(E15:F15,N21)+COUNTIF(E15:F15,"*,"&amp;N21&amp;",*")+COUNTIF(H15:I15,N21)+COUNTIF(H15:I15,"*,"&amp;N21&amp;",*")+COUNTIF(K15:L15,N21)+COUNTIF(K15:L15,"*,"&amp;N21&amp;",*")+COUNTIF(N15:O15,N21)+COUNTIF(N15:O15,"*,"&amp;N21&amp;",*")+COUNTIF(B17:C17,N21)+COUNTIF(B17:C17,"*,"&amp;N21&amp;",*")+COUNTIF(E17:F17,N21)+COUNTIF(E17:F17,"*,"&amp;N21&amp;",*")+COUNTIF(H17:I17,N21)+COUNTIF(H17:I17,"*,"&amp;N21&amp;",*")+COUNTIF(K17:L17,N21)+COUNTIF(K17:L17,"*,"&amp;N21&amp;",*")+COUNTIF(N17:O17,N21)+COUNTIF(N17:O17,"*,"&amp;N21&amp;",*"))</f>
        <v/>
      </c>
      <c r="O24" s="21">
        <f>IF(COUNTIF(B5:C5,O21)+COUNTIF(B5:C5,"*,"&amp;O21&amp;",*")+COUNTIF(E5:F5,O21)+COUNTIF(E5:F5,"*,"&amp;O21&amp;",*")+COUNTIF(H5:I5,O21)+COUNTIF(H5:I5,"*,"&amp;O21&amp;",*")+COUNTIF(K5:L5,O21)+COUNTIF(K5:L5,"*,"&amp;O21&amp;",*")+COUNTIF(N5:O5,O21)+COUNTIF(N5:O5,"*,"&amp;O21&amp;",*")+COUNTIF(B7:C7,O21)+COUNTIF(B7:C7,"*,"&amp;O21&amp;",*")+COUNTIF(E7:F7,O21)+COUNTIF(E7:F7,"*,"&amp;O21&amp;",*")+COUNTIF(H7:I7,O21)+COUNTIF(H7:I7,"*,"&amp;O21&amp;",*")+COUNTIF(K7:L7,O21)+COUNTIF(K7:L7,"*,"&amp;O21&amp;",*")+COUNTIF(N7:O7,O21)+COUNTIF(N7:O7,"*,"&amp;O21&amp;",*")+COUNTIF(B9:C9,O21)+COUNTIF(B9:C9,"*,"&amp;O21&amp;",*")+COUNTIF(E9:F9,O21)+COUNTIF(E9:F9,"*,"&amp;O21&amp;",*")+COUNTIF(H9:I9,O21)+COUNTIF(H9:I9,"*,"&amp;O21&amp;",*")+COUNTIF(K9:L9,O21)+COUNTIF(K9:L9,"*,"&amp;O21&amp;",*")+COUNTIF(N9:O9,O21)+COUNTIF(N9:O9,"*,"&amp;O21&amp;",*")+COUNTIF(B11:C11,O21)+COUNTIF(B11:C11,"*,"&amp;O21&amp;",*")+COUNTIF(E11:F11,O21)+COUNTIF(E11:F11,"*,"&amp;O21&amp;",*")+COUNTIF(H11:I11,O21)+COUNTIF(H11:I11,"*,"&amp;O21&amp;",*")+COUNTIF(K11:L11,O21)+COUNTIF(K11:L11,"*,"&amp;O21&amp;",*")+COUNTIF(N11:O11,O21)+COUNTIF(N11:O11,"*,"&amp;O21&amp;",*")+COUNTIF(B13:C13,O21)+COUNTIF(B13:C13,"*,"&amp;O21&amp;",*")+COUNTIF(E13:F13,O21)+COUNTIF(E13:F13,"*,"&amp;O21&amp;",*")+COUNTIF(H13:I13,O21)+COUNTIF(H13:I13,"*,"&amp;O21&amp;",*")+COUNTIF(K13:L13,O21)+COUNTIF(K13:L13,"*,"&amp;O21&amp;",*")+COUNTIF(N13:O13,O21)+COUNTIF(N13:O13,"*,"&amp;O21&amp;",*")+COUNTIF(B15:C15,O21)+COUNTIF(B15:C15,"*,"&amp;O21&amp;",*")+COUNTIF(E15:F15,O21)+COUNTIF(E15:F15,"*,"&amp;O21&amp;",*")+COUNTIF(H15:I15,O21)+COUNTIF(H15:I15,"*,"&amp;O21&amp;",*")+COUNTIF(K15:L15,O21)+COUNTIF(K15:L15,"*,"&amp;O21&amp;",*")+COUNTIF(N15:O15,O21)+COUNTIF(N15:O15,"*,"&amp;O21&amp;",*")+COUNTIF(B17:C17,O21)+COUNTIF(B17:C17,"*,"&amp;O21&amp;",*")+COUNTIF(E17:F17,O21)+COUNTIF(E17:F17,"*,"&amp;O21&amp;",*")+COUNTIF(H17:I17,O21)+COUNTIF(H17:I17,"*,"&amp;O21&amp;",*")+COUNTIF(K17:L17,O21)+COUNTIF(K17:L17,"*,"&amp;O21&amp;",*")+COUNTIF(N17:O17,O21)+COUNTIF(N17:O17,"*,"&amp;O21&amp;",*")=0,"",COUNTIF(B5:C5,O21)+COUNTIF(B5:C5,"*,"&amp;O21&amp;",*")+COUNTIF(E5:F5,O21)+COUNTIF(E5:F5,"*,"&amp;O21&amp;",*")+COUNTIF(H5:I5,O21)+COUNTIF(H5:I5,"*,"&amp;O21&amp;",*")+COUNTIF(K5:L5,O21)+COUNTIF(K5:L5,"*,"&amp;O21&amp;",*")+COUNTIF(N5:O5,O21)+COUNTIF(N5:O5,"*,"&amp;O21&amp;",*")+COUNTIF(B7:C7,O21)+COUNTIF(B7:C7,"*,"&amp;O21&amp;",*")+COUNTIF(E7:F7,O21)+COUNTIF(E7:F7,"*,"&amp;O21&amp;",*")+COUNTIF(H7:I7,O21)+COUNTIF(H7:I7,"*,"&amp;O21&amp;",*")+COUNTIF(K7:L7,O21)+COUNTIF(K7:L7,"*,"&amp;O21&amp;",*")+COUNTIF(N7:O7,O21)+COUNTIF(N7:O7,"*,"&amp;O21&amp;",*")+COUNTIF(B9:C9,O21)+COUNTIF(B9:C9,"*,"&amp;O21&amp;",*")+COUNTIF(E9:F9,O21)+COUNTIF(E9:F9,"*,"&amp;O21&amp;",*")+COUNTIF(H9:I9,O21)+COUNTIF(H9:I9,"*,"&amp;O21&amp;",*")+COUNTIF(K9:L9,O21)+COUNTIF(K9:L9,"*,"&amp;O21&amp;",*")+COUNTIF(N9:O9,O21)+COUNTIF(N9:O9,"*,"&amp;O21&amp;",*")+COUNTIF(B11:C11,O21)+COUNTIF(B11:C11,"*,"&amp;O21&amp;",*")+COUNTIF(E11:F11,O21)+COUNTIF(E11:F11,"*,"&amp;O21&amp;",*")+COUNTIF(H11:I11,O21)+COUNTIF(H11:I11,"*,"&amp;O21&amp;",*")+COUNTIF(K11:L11,O21)+COUNTIF(K11:L11,"*,"&amp;O21&amp;",*")+COUNTIF(N11:O11,O21)+COUNTIF(N11:O11,"*,"&amp;O21&amp;",*")+COUNTIF(B13:C13,O21)+COUNTIF(B13:C13,"*,"&amp;O21&amp;",*")+COUNTIF(E13:F13,O21)+COUNTIF(E13:F13,"*,"&amp;O21&amp;",*")+COUNTIF(H13:I13,O21)+COUNTIF(H13:I13,"*,"&amp;O21&amp;",*")+COUNTIF(K13:L13,O21)+COUNTIF(K13:L13,"*,"&amp;O21&amp;",*")+COUNTIF(N13:O13,O21)+COUNTIF(N13:O13,"*,"&amp;O21&amp;",*")+COUNTIF(B15:C15,O21)+COUNTIF(B15:C15,"*,"&amp;O21&amp;",*")+COUNTIF(E15:F15,O21)+COUNTIF(E15:F15,"*,"&amp;O21&amp;",*")+COUNTIF(H15:I15,O21)+COUNTIF(H15:I15,"*,"&amp;O21&amp;",*")+COUNTIF(K15:L15,O21)+COUNTIF(K15:L15,"*,"&amp;O21&amp;",*")+COUNTIF(N15:O15,O21)+COUNTIF(N15:O15,"*,"&amp;O21&amp;",*")+COUNTIF(B17:C17,O21)+COUNTIF(B17:C17,"*,"&amp;O21&amp;",*")+COUNTIF(E17:F17,O21)+COUNTIF(E17:F17,"*,"&amp;O21&amp;",*")+COUNTIF(H17:I17,O21)+COUNTIF(H17:I17,"*,"&amp;O21&amp;",*")+COUNTIF(K17:L17,O21)+COUNTIF(K17:L17,"*,"&amp;O21&amp;",*")+COUNTIF(N17:O17,O21)+COUNTIF(N17:O17,"*,"&amp;O21&amp;",*"))</f>
        <v/>
      </c>
      <c r="P24" s="22">
        <f>IF(SUM(B24:O24)=0,"",SUM(B24:O24))</f>
        <v/>
      </c>
    </row>
    <row r="25" spans="1:16" ht="13.5" customHeight="1" x14ac:dyDescent="0.2">
      <c r="A25" s="23" t="s">
        <v>52</v>
      </c>
      <c r="B25" s="26"/>
      <c r="C25" s="26"/>
      <c r="D25" s="26"/>
      <c r="E25" s="26"/>
      <c r="F25" s="26"/>
      <c r="G25" s="26"/>
      <c r="H25" s="26"/>
      <c r="I25" s="26"/>
      <c r="J25" s="26"/>
      <c r="K25" s="26"/>
      <c r="L25" s="26"/>
      <c r="M25" s="26"/>
      <c r="N25" s="26"/>
      <c r="O25" s="24"/>
      <c r="P25" s="18">
        <f>IF(SUM(B25:O25)=0,"",SUM(B25:O25))</f>
        <v/>
      </c>
    </row>
  </sheetData>
  <sheetProtection sheet="1" objects="1" scenarios="1"/>
  <mergeCells count="104">
    <mergeCell ref="N19:P19"/>
    <mergeCell ref="A23:A24"/>
    <mergeCell ref="N17:O17"/>
    <mergeCell ref="B18:D18"/>
    <mergeCell ref="E18:G18"/>
    <mergeCell ref="H18:J18"/>
    <mergeCell ref="K18:M18"/>
    <mergeCell ref="N18:P18"/>
    <mergeCell ref="A17:A18"/>
    <mergeCell ref="B17:C17"/>
    <mergeCell ref="E17:F17"/>
    <mergeCell ref="H17:I17"/>
    <mergeCell ref="K17:L17"/>
    <mergeCell ref="B19:D19"/>
    <mergeCell ref="E19:G19"/>
    <mergeCell ref="H19:J19"/>
    <mergeCell ref="K19:M19"/>
    <mergeCell ref="A15:A16"/>
    <mergeCell ref="B15:C15"/>
    <mergeCell ref="E15:F15"/>
    <mergeCell ref="H15:I15"/>
    <mergeCell ref="K15:L15"/>
    <mergeCell ref="N15:O15"/>
    <mergeCell ref="B16:D16"/>
    <mergeCell ref="E16:G16"/>
    <mergeCell ref="H16:J16"/>
    <mergeCell ref="K16:M16"/>
    <mergeCell ref="N16:P16"/>
    <mergeCell ref="A13:A14"/>
    <mergeCell ref="B13:C13"/>
    <mergeCell ref="E13:F13"/>
    <mergeCell ref="H13:I13"/>
    <mergeCell ref="K13:L13"/>
    <mergeCell ref="N13:O13"/>
    <mergeCell ref="B14:D14"/>
    <mergeCell ref="E14:G14"/>
    <mergeCell ref="H14:J14"/>
    <mergeCell ref="K14:M14"/>
    <mergeCell ref="N14:P14"/>
    <mergeCell ref="A11:A12"/>
    <mergeCell ref="B11:C11"/>
    <mergeCell ref="E11:F11"/>
    <mergeCell ref="H11:I11"/>
    <mergeCell ref="K11:L11"/>
    <mergeCell ref="N11:O11"/>
    <mergeCell ref="B12:D12"/>
    <mergeCell ref="E12:G12"/>
    <mergeCell ref="H12:J12"/>
    <mergeCell ref="K12:M12"/>
    <mergeCell ref="N12:P12"/>
    <mergeCell ref="N8:P8"/>
    <mergeCell ref="A9:A10"/>
    <mergeCell ref="B9:C9"/>
    <mergeCell ref="E9:F9"/>
    <mergeCell ref="H9:I9"/>
    <mergeCell ref="K9:L9"/>
    <mergeCell ref="N9:O9"/>
    <mergeCell ref="B10:D10"/>
    <mergeCell ref="E10:G10"/>
    <mergeCell ref="H10:J10"/>
    <mergeCell ref="A7:A8"/>
    <mergeCell ref="B7:C7"/>
    <mergeCell ref="E7:F7"/>
    <mergeCell ref="H7:I7"/>
    <mergeCell ref="K7:L7"/>
    <mergeCell ref="N7:O7"/>
    <mergeCell ref="B8:D8"/>
    <mergeCell ref="E8:G8"/>
    <mergeCell ref="H8:J8"/>
    <mergeCell ref="K8:M8"/>
    <mergeCell ref="K10:M10"/>
    <mergeCell ref="N10:P10"/>
    <mergeCell ref="A5:A6"/>
    <mergeCell ref="B5:C5"/>
    <mergeCell ref="E5:F5"/>
    <mergeCell ref="H5:I5"/>
    <mergeCell ref="K5:L5"/>
    <mergeCell ref="N2:P2"/>
    <mergeCell ref="B3:D3"/>
    <mergeCell ref="E3:G3"/>
    <mergeCell ref="H3:J3"/>
    <mergeCell ref="K3:M3"/>
    <mergeCell ref="N3:P3"/>
    <mergeCell ref="N5:O5"/>
    <mergeCell ref="B6:D6"/>
    <mergeCell ref="E6:G6"/>
    <mergeCell ref="H6:J6"/>
    <mergeCell ref="K6:M6"/>
    <mergeCell ref="N6:P6"/>
    <mergeCell ref="B4:D4"/>
    <mergeCell ref="E4:G4"/>
    <mergeCell ref="H4:J4"/>
    <mergeCell ref="K4:M4"/>
    <mergeCell ref="N4:P4"/>
    <mergeCell ref="A1:G1"/>
    <mergeCell ref="I1:J1"/>
    <mergeCell ref="K1:L1"/>
    <mergeCell ref="M1:N1"/>
    <mergeCell ref="O1:P1"/>
    <mergeCell ref="A2:A3"/>
    <mergeCell ref="B2:D2"/>
    <mergeCell ref="E2:G2"/>
    <mergeCell ref="H2:J2"/>
    <mergeCell ref="K2:M2"/>
  </mergeCells>
  <phoneticPr fontId="5"/>
  <dataValidations count="1">
    <dataValidation type="list" allowBlank="1" showInputMessage="1" sqref="D5 P17 M17 J17 G17 D17 P15 M15 J15 G15 D15 P13 M13 J13 G13 D13 P11 M11 J11 G11 D11 P9 M9 J9 G9 D9 P7 M7 J7 G7 D7 P5 M5 J5 G5" xr:uid="{D4BD7273-3604-4251-9F4B-A320502A82B9}">
      <formula1>"×,月1,月2,月3,月4,月5,月6,月7,火1,火2,火3,火4,火5,火6,火7,水1,水2,水3,水4,水5,水6,水7,木1,木2,木3,木4,木5,木6,木7,金1,金2,金3,金4,金5,金6,金7"</formula1>
    </dataValidation>
  </dataValidations>
  <printOptions horizontalCentered="1"/>
  <pageMargins left="0.78740157480314965" right="0.78740157480314965" top="0.78740157480314965" bottom="0.78740157480314965" header="0" footer="0"/>
  <pageSetup paperSize="9" scale="93"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tn_0">
              <controlPr defaultSize="0" print="0" autoFill="0" autoPict="0" macro="[0]!ボタン_新しい週">
                <anchor moveWithCells="1" sizeWithCells="1">
                  <from>
                    <xdr:col>17</xdr:col>
                    <xdr:colOff>60960</xdr:colOff>
                    <xdr:row>3</xdr:row>
                    <xdr:rowOff>30480</xdr:rowOff>
                  </from>
                  <to>
                    <xdr:col>18</xdr:col>
                    <xdr:colOff>533400</xdr:colOff>
                    <xdr:row>3</xdr:row>
                    <xdr:rowOff>335280</xdr:rowOff>
                  </to>
                </anchor>
              </controlPr>
            </control>
          </mc:Choice>
        </mc:AlternateContent>
        <mc:AlternateContent xmlns:mc="http://schemas.openxmlformats.org/markup-compatibility/2006">
          <mc:Choice Requires="x14">
            <control shapeId="19458" r:id="rId5" name="Btn_1">
              <controlPr defaultSize="0" print="0" autoFill="0" autoPict="0" macro="[0]!ボタン_時間割展開">
                <anchor moveWithCells="1" sizeWithCells="1">
                  <from>
                    <xdr:col>17</xdr:col>
                    <xdr:colOff>60960</xdr:colOff>
                    <xdr:row>3</xdr:row>
                    <xdr:rowOff>441960</xdr:rowOff>
                  </from>
                  <to>
                    <xdr:col>18</xdr:col>
                    <xdr:colOff>533400</xdr:colOff>
                    <xdr:row>4</xdr:row>
                    <xdr:rowOff>45720</xdr:rowOff>
                  </to>
                </anchor>
              </controlPr>
            </control>
          </mc:Choice>
        </mc:AlternateContent>
        <mc:AlternateContent xmlns:mc="http://schemas.openxmlformats.org/markup-compatibility/2006">
          <mc:Choice Requires="x14">
            <control shapeId="19459" r:id="rId6" name="Btn_2">
              <controlPr defaultSize="0" print="0" autoFill="0" autoPict="0" macro="[0]!ボタン_累計更新">
                <anchor moveWithCells="1" sizeWithCells="1">
                  <from>
                    <xdr:col>17</xdr:col>
                    <xdr:colOff>60960</xdr:colOff>
                    <xdr:row>4</xdr:row>
                    <xdr:rowOff>144780</xdr:rowOff>
                  </from>
                  <to>
                    <xdr:col>18</xdr:col>
                    <xdr:colOff>533400</xdr:colOff>
                    <xdr:row>5</xdr:row>
                    <xdr:rowOff>220980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xr:uid="{DB0024F8-D0ED-4839-9BBA-3F25C27716D6}">
          <x14:formula1>
            <xm:f>基本設定!$B$6:$B$20</xm:f>
          </x14:formula1>
          <xm:sqref>B5 N19 K19 H19 E19 B19 N17 K17 H17 E17 B17 N15 K15 H15 E15 B15 N13 K13 H13 E13 B13 N11 K11 H11 E11 B11 N9 K9 H9 E9 B9 N7 K7 H7 E7 B7 N5 K5 H5 E5</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8E5DB5-B27F-457D-9CD1-2FA5CED7C53E}">
  <sheetPr codeName="Sheet16">
    <tabColor rgb="FFC0392B"/>
    <pageSetUpPr fitToPage="1"/>
  </sheetPr>
  <dimension ref="A1:P25"/>
  <sheetViews>
    <sheetView topLeftCell="A8" zoomScale="80" zoomScaleNormal="80" workbookViewId="0">
      <selection activeCell="N6" sqref="N6:P6"/>
    </sheetView>
  </sheetViews>
  <sheetFormatPr defaultColWidth="8.77734375" defaultRowHeight="13.2" x14ac:dyDescent="0.2"/>
  <cols>
    <col min="1" max="1" width="5.44140625" customWidth="1"/>
    <col min="2" max="16" width="5.77734375" customWidth="1"/>
  </cols>
  <sheetData>
    <row r="1" spans="1:16" ht="50.1" customHeight="1" x14ac:dyDescent="0.2">
      <c r="A1" s="51" t="s">
        <v>34</v>
      </c>
      <c r="B1" s="52"/>
      <c r="C1" s="52"/>
      <c r="D1" s="52"/>
      <c r="E1" s="52"/>
      <c r="F1" s="52"/>
      <c r="G1" s="52"/>
      <c r="H1" s="8" t="s">
        <v>35</v>
      </c>
      <c r="I1" s="53" t="s">
        <v>36</v>
      </c>
      <c r="J1" s="54"/>
      <c r="K1" s="53" t="s">
        <v>37</v>
      </c>
      <c r="L1" s="54"/>
      <c r="M1" s="53" t="s">
        <v>38</v>
      </c>
      <c r="N1" s="54"/>
      <c r="O1" s="53" t="s">
        <v>39</v>
      </c>
      <c r="P1" s="54"/>
    </row>
    <row r="2" spans="1:16" ht="15.6" customHeight="1" x14ac:dyDescent="0.2">
      <c r="A2" s="55" t="s">
        <v>40</v>
      </c>
      <c r="B2" s="57" t="s">
        <v>29</v>
      </c>
      <c r="C2" s="57"/>
      <c r="D2" s="57"/>
      <c r="E2" s="59" t="s">
        <v>30</v>
      </c>
      <c r="F2" s="59"/>
      <c r="G2" s="59"/>
      <c r="H2" s="45" t="s">
        <v>31</v>
      </c>
      <c r="I2" s="45"/>
      <c r="J2" s="45"/>
      <c r="K2" s="47" t="s">
        <v>32</v>
      </c>
      <c r="L2" s="47"/>
      <c r="M2" s="47"/>
      <c r="N2" s="49" t="s">
        <v>33</v>
      </c>
      <c r="O2" s="49"/>
      <c r="P2" s="49"/>
    </row>
    <row r="3" spans="1:16" ht="15" customHeight="1" x14ac:dyDescent="0.2">
      <c r="A3" s="56"/>
      <c r="B3" s="58" t="s">
        <v>41</v>
      </c>
      <c r="C3" s="58"/>
      <c r="D3" s="58"/>
      <c r="E3" s="60" t="s">
        <v>42</v>
      </c>
      <c r="F3" s="60"/>
      <c r="G3" s="60"/>
      <c r="H3" s="46" t="s">
        <v>43</v>
      </c>
      <c r="I3" s="46"/>
      <c r="J3" s="46"/>
      <c r="K3" s="48" t="s">
        <v>44</v>
      </c>
      <c r="L3" s="48"/>
      <c r="M3" s="48"/>
      <c r="N3" s="50" t="s">
        <v>45</v>
      </c>
      <c r="O3" s="50"/>
      <c r="P3" s="50"/>
    </row>
    <row r="4" spans="1:16" ht="54.9" customHeight="1" x14ac:dyDescent="0.2">
      <c r="A4" s="9" t="s">
        <v>46</v>
      </c>
      <c r="B4" s="40"/>
      <c r="C4" s="40"/>
      <c r="D4" s="40"/>
      <c r="E4" s="41"/>
      <c r="F4" s="41"/>
      <c r="G4" s="41"/>
      <c r="H4" s="42"/>
      <c r="I4" s="42"/>
      <c r="J4" s="42"/>
      <c r="K4" s="43"/>
      <c r="L4" s="43"/>
      <c r="M4" s="43"/>
      <c r="N4" s="44"/>
      <c r="O4" s="44"/>
      <c r="P4" s="44"/>
    </row>
    <row r="5" spans="1:16" ht="18" customHeight="1" x14ac:dyDescent="0.2">
      <c r="A5" s="39">
        <v>1</v>
      </c>
      <c r="B5" s="37"/>
      <c r="C5" s="37"/>
      <c r="D5" s="25"/>
      <c r="E5" s="37"/>
      <c r="F5" s="37"/>
      <c r="G5" s="25"/>
      <c r="H5" s="37"/>
      <c r="I5" s="37"/>
      <c r="J5" s="25"/>
      <c r="K5" s="37"/>
      <c r="L5" s="37"/>
      <c r="M5" s="25"/>
      <c r="N5" s="37"/>
      <c r="O5" s="37"/>
      <c r="P5" s="25"/>
    </row>
    <row r="6" spans="1:16" ht="62.1" customHeight="1" x14ac:dyDescent="0.2">
      <c r="A6" s="39"/>
      <c r="B6" s="38"/>
      <c r="C6" s="38"/>
      <c r="D6" s="38"/>
      <c r="E6" s="38"/>
      <c r="F6" s="38"/>
      <c r="G6" s="38"/>
      <c r="H6" s="38"/>
      <c r="I6" s="38"/>
      <c r="J6" s="38"/>
      <c r="K6" s="38"/>
      <c r="L6" s="38"/>
      <c r="M6" s="38"/>
      <c r="N6" s="38"/>
      <c r="O6" s="38"/>
      <c r="P6" s="38"/>
    </row>
    <row r="7" spans="1:16" ht="18" customHeight="1" x14ac:dyDescent="0.2">
      <c r="A7" s="39">
        <v>2</v>
      </c>
      <c r="B7" s="37"/>
      <c r="C7" s="37"/>
      <c r="D7" s="25"/>
      <c r="E7" s="37"/>
      <c r="F7" s="37"/>
      <c r="G7" s="25"/>
      <c r="H7" s="37"/>
      <c r="I7" s="37"/>
      <c r="J7" s="25"/>
      <c r="K7" s="37"/>
      <c r="L7" s="37"/>
      <c r="M7" s="25"/>
      <c r="N7" s="37"/>
      <c r="O7" s="37"/>
      <c r="P7" s="25"/>
    </row>
    <row r="8" spans="1:16" ht="62.1" customHeight="1" x14ac:dyDescent="0.2">
      <c r="A8" s="39"/>
      <c r="B8" s="38"/>
      <c r="C8" s="38"/>
      <c r="D8" s="38"/>
      <c r="E8" s="38"/>
      <c r="F8" s="38"/>
      <c r="G8" s="38"/>
      <c r="H8" s="38"/>
      <c r="I8" s="38"/>
      <c r="J8" s="38"/>
      <c r="K8" s="38"/>
      <c r="L8" s="38"/>
      <c r="M8" s="38"/>
      <c r="N8" s="38"/>
      <c r="O8" s="38"/>
      <c r="P8" s="38"/>
    </row>
    <row r="9" spans="1:16" ht="18" customHeight="1" x14ac:dyDescent="0.2">
      <c r="A9" s="39">
        <v>3</v>
      </c>
      <c r="B9" s="37"/>
      <c r="C9" s="37"/>
      <c r="D9" s="25"/>
      <c r="E9" s="37"/>
      <c r="F9" s="37"/>
      <c r="G9" s="25"/>
      <c r="H9" s="37"/>
      <c r="I9" s="37"/>
      <c r="J9" s="25"/>
      <c r="K9" s="37"/>
      <c r="L9" s="37"/>
      <c r="M9" s="25"/>
      <c r="N9" s="37"/>
      <c r="O9" s="37"/>
      <c r="P9" s="25"/>
    </row>
    <row r="10" spans="1:16" ht="62.1" customHeight="1" x14ac:dyDescent="0.2">
      <c r="A10" s="39"/>
      <c r="B10" s="38"/>
      <c r="C10" s="38"/>
      <c r="D10" s="38"/>
      <c r="E10" s="38"/>
      <c r="F10" s="38"/>
      <c r="G10" s="38"/>
      <c r="H10" s="38"/>
      <c r="I10" s="38"/>
      <c r="J10" s="38"/>
      <c r="K10" s="38"/>
      <c r="L10" s="38"/>
      <c r="M10" s="38"/>
      <c r="N10" s="38"/>
      <c r="O10" s="38"/>
      <c r="P10" s="38"/>
    </row>
    <row r="11" spans="1:16" ht="18" customHeight="1" x14ac:dyDescent="0.2">
      <c r="A11" s="39">
        <v>4</v>
      </c>
      <c r="B11" s="37"/>
      <c r="C11" s="37"/>
      <c r="D11" s="25"/>
      <c r="E11" s="37"/>
      <c r="F11" s="37"/>
      <c r="G11" s="25"/>
      <c r="H11" s="37"/>
      <c r="I11" s="37"/>
      <c r="J11" s="25"/>
      <c r="K11" s="37"/>
      <c r="L11" s="37"/>
      <c r="M11" s="25"/>
      <c r="N11" s="37"/>
      <c r="O11" s="37"/>
      <c r="P11" s="25"/>
    </row>
    <row r="12" spans="1:16" ht="62.1" customHeight="1" x14ac:dyDescent="0.2">
      <c r="A12" s="39"/>
      <c r="B12" s="38"/>
      <c r="C12" s="38"/>
      <c r="D12" s="38"/>
      <c r="E12" s="38"/>
      <c r="F12" s="38"/>
      <c r="G12" s="38"/>
      <c r="H12" s="38"/>
      <c r="I12" s="38"/>
      <c r="J12" s="38"/>
      <c r="K12" s="38"/>
      <c r="L12" s="38"/>
      <c r="M12" s="38"/>
      <c r="N12" s="38"/>
      <c r="O12" s="38"/>
      <c r="P12" s="38"/>
    </row>
    <row r="13" spans="1:16" ht="18" customHeight="1" x14ac:dyDescent="0.2">
      <c r="A13" s="39">
        <v>5</v>
      </c>
      <c r="B13" s="37"/>
      <c r="C13" s="37"/>
      <c r="D13" s="25"/>
      <c r="E13" s="37"/>
      <c r="F13" s="37"/>
      <c r="G13" s="25"/>
      <c r="H13" s="37"/>
      <c r="I13" s="37"/>
      <c r="J13" s="25"/>
      <c r="K13" s="37"/>
      <c r="L13" s="37"/>
      <c r="M13" s="25"/>
      <c r="N13" s="37"/>
      <c r="O13" s="37"/>
      <c r="P13" s="25"/>
    </row>
    <row r="14" spans="1:16" ht="62.1" customHeight="1" x14ac:dyDescent="0.2">
      <c r="A14" s="39"/>
      <c r="B14" s="38"/>
      <c r="C14" s="38"/>
      <c r="D14" s="38"/>
      <c r="E14" s="38"/>
      <c r="F14" s="38"/>
      <c r="G14" s="38"/>
      <c r="H14" s="38"/>
      <c r="I14" s="38"/>
      <c r="J14" s="38"/>
      <c r="K14" s="38"/>
      <c r="L14" s="38"/>
      <c r="M14" s="38"/>
      <c r="N14" s="38"/>
      <c r="O14" s="38"/>
      <c r="P14" s="38"/>
    </row>
    <row r="15" spans="1:16" ht="18" customHeight="1" x14ac:dyDescent="0.2">
      <c r="A15" s="39">
        <v>6</v>
      </c>
      <c r="B15" s="37"/>
      <c r="C15" s="37"/>
      <c r="D15" s="25"/>
      <c r="E15" s="37"/>
      <c r="F15" s="37"/>
      <c r="G15" s="25"/>
      <c r="H15" s="37"/>
      <c r="I15" s="37"/>
      <c r="J15" s="25"/>
      <c r="K15" s="37"/>
      <c r="L15" s="37"/>
      <c r="M15" s="25"/>
      <c r="N15" s="37"/>
      <c r="O15" s="37"/>
      <c r="P15" s="25"/>
    </row>
    <row r="16" spans="1:16" ht="62.1" customHeight="1" x14ac:dyDescent="0.2">
      <c r="A16" s="39"/>
      <c r="B16" s="38"/>
      <c r="C16" s="38"/>
      <c r="D16" s="38"/>
      <c r="E16" s="38"/>
      <c r="F16" s="38"/>
      <c r="G16" s="38"/>
      <c r="H16" s="38"/>
      <c r="I16" s="38"/>
      <c r="J16" s="38"/>
      <c r="K16" s="38"/>
      <c r="L16" s="38"/>
      <c r="M16" s="38"/>
      <c r="N16" s="38"/>
      <c r="O16" s="38"/>
      <c r="P16" s="38"/>
    </row>
    <row r="17" spans="1:16" ht="18" customHeight="1" x14ac:dyDescent="0.2">
      <c r="A17" s="39">
        <v>7</v>
      </c>
      <c r="B17" s="37"/>
      <c r="C17" s="37"/>
      <c r="D17" s="25"/>
      <c r="E17" s="37"/>
      <c r="F17" s="37"/>
      <c r="G17" s="25"/>
      <c r="H17" s="37"/>
      <c r="I17" s="37"/>
      <c r="J17" s="25"/>
      <c r="K17" s="37"/>
      <c r="L17" s="37"/>
      <c r="M17" s="25"/>
      <c r="N17" s="37"/>
      <c r="O17" s="37"/>
      <c r="P17" s="25"/>
    </row>
    <row r="18" spans="1:16" ht="62.1" customHeight="1" x14ac:dyDescent="0.2">
      <c r="A18" s="39"/>
      <c r="B18" s="38"/>
      <c r="C18" s="38"/>
      <c r="D18" s="38"/>
      <c r="E18" s="38"/>
      <c r="F18" s="38"/>
      <c r="G18" s="38"/>
      <c r="H18" s="38"/>
      <c r="I18" s="38"/>
      <c r="J18" s="38"/>
      <c r="K18" s="38"/>
      <c r="L18" s="38"/>
      <c r="M18" s="38"/>
      <c r="N18" s="38"/>
      <c r="O18" s="38"/>
      <c r="P18" s="38"/>
    </row>
    <row r="19" spans="1:16" ht="54.9" customHeight="1" x14ac:dyDescent="0.2">
      <c r="A19" s="10" t="s">
        <v>47</v>
      </c>
      <c r="B19" s="34"/>
      <c r="C19" s="34"/>
      <c r="D19" s="34"/>
      <c r="E19" s="34"/>
      <c r="F19" s="34"/>
      <c r="G19" s="34"/>
      <c r="H19" s="34"/>
      <c r="I19" s="34"/>
      <c r="J19" s="34"/>
      <c r="K19" s="34"/>
      <c r="L19" s="34"/>
      <c r="M19" s="34"/>
      <c r="N19" s="34"/>
      <c r="O19" s="34"/>
      <c r="P19" s="34"/>
    </row>
    <row r="20" spans="1:16" hidden="1" x14ac:dyDescent="0.2">
      <c r="A20" s="11"/>
      <c r="B20" s="11"/>
      <c r="C20" s="11"/>
      <c r="D20" s="11"/>
      <c r="E20" s="11"/>
      <c r="F20" s="11"/>
      <c r="G20" s="11"/>
      <c r="H20" s="11"/>
      <c r="I20" s="11"/>
      <c r="J20" s="11"/>
      <c r="K20" s="11"/>
      <c r="L20" s="11"/>
      <c r="M20" s="11"/>
      <c r="N20" s="11"/>
      <c r="O20" s="11"/>
      <c r="P20" s="11"/>
    </row>
    <row r="21" spans="1:16" ht="13.5" customHeight="1" x14ac:dyDescent="0.2">
      <c r="A21" s="12" t="s">
        <v>48</v>
      </c>
      <c r="B21" s="12">
        <f>IF(基本設定!B6="","",基本設定!B6)</f>
      </c>
      <c r="C21" s="12">
        <f>IF(基本設定!B7="","",基本設定!B7)</f>
      </c>
      <c r="D21" s="12">
        <f>IF(基本設定!B8="","",基本設定!B8)</f>
      </c>
      <c r="E21" s="12">
        <f>IF(基本設定!B9="","",基本設定!B9)</f>
      </c>
      <c r="F21" s="12">
        <f>IF(基本設定!B10="","",基本設定!B10)</f>
      </c>
      <c r="G21" s="12">
        <f>IF(基本設定!B11="","",基本設定!B11)</f>
      </c>
      <c r="H21" s="12"/>
      <c r="I21" s="12"/>
      <c r="J21" s="12"/>
      <c r="K21" s="12"/>
      <c r="L21" s="12"/>
      <c r="M21" s="13" t="s">
        <v>53</v>
      </c>
      <c r="N21" s="12" t="s">
        <v>20</v>
      </c>
      <c r="O21" s="12" t="s">
        <v>22</v>
      </c>
      <c r="P21" s="14" t="s">
        <v>49</v>
      </c>
    </row>
    <row r="22" spans="1:16" ht="13.5" customHeight="1" x14ac:dyDescent="0.2">
      <c r="A22" s="15" t="s">
        <v>50</v>
      </c>
      <c r="B22" s="16">
        <f>IF(B21="","",IFERROR(VALUE(VLOOKUP(B21,基本設定!$A$23:$B$35,2,FALSE())),""))</f>
      </c>
      <c r="C22" s="16">
        <f>IF(C21="","",IFERROR(VALUE(VLOOKUP(C21,基本設定!$A$23:$B$35,2,FALSE())),""))</f>
      </c>
      <c r="D22" s="16">
        <f>IF(D21="","",IFERROR(VALUE(VLOOKUP(D21,基本設定!$A$23:$B$35,2,FALSE())),""))</f>
      </c>
      <c r="E22" s="16">
        <f>IF(E21="","",IFERROR(VALUE(VLOOKUP(E21,基本設定!$A$23:$B$35,2,FALSE())),""))</f>
      </c>
      <c r="F22" s="16">
        <f>IF(F21="","",IFERROR(VALUE(VLOOKUP(F21,基本設定!$A$23:$B$35,2,FALSE())),""))</f>
      </c>
      <c r="G22" s="16">
        <f>IF(G21="","",IFERROR(VALUE(VLOOKUP(G21,基本設定!$A$23:$B$35,2,FALSE())),""))</f>
      </c>
      <c r="H22" s="17"/>
      <c r="I22" s="17"/>
      <c r="J22" s="17"/>
      <c r="K22" s="17"/>
      <c r="L22" s="17"/>
      <c r="M22" s="17">
        <v>1</v>
      </c>
      <c r="N22" s="17">
        <f>IF(N21="","",IFERROR(VALUE(VLOOKUP(N21,基本設定!$A$23:$B$35,2,FALSE())),""))</f>
      </c>
      <c r="O22" s="17">
        <f>IF(O21="","",IFERROR(VALUE(VLOOKUP(O21,基本設定!$A$23:$B$35,2,FALSE())),""))</f>
      </c>
      <c r="P22" s="18">
        <f>IF(SUM(B22:O22)=0,"",SUM(B22:O22))</f>
      </c>
    </row>
    <row r="23" spans="1:16" ht="13.5" customHeight="1" x14ac:dyDescent="0.2">
      <c r="A23" s="35" t="s">
        <v>51</v>
      </c>
      <c r="B23" s="19">
        <f>IF(B21="","",IF(B24="","",B24-(SUMPRODUCT((B5:C5=B21)*(D5="×"))+SUMPRODUCT((E5:F5=B21)*(G5="×"))+SUMPRODUCT((H5:I5=B21)*(J5="×"))+SUMPRODUCT((K5:L5=B21)*(M5="×"))+SUMPRODUCT((N5:O5=B21)*(P5="×"))+SUMPRODUCT((B7:C7=B21)*(D7="×"))+SUMPRODUCT((E7:F7=B21)*(G7="×"))+SUMPRODUCT((H7:I7=B21)*(J7="×"))+SUMPRODUCT((K7:L7=B21)*(M7="×"))+SUMPRODUCT((N7:O7=B21)*(P7="×"))+SUMPRODUCT((B9:C9=B21)*(D9="×"))+SUMPRODUCT((E9:F9=B21)*(G9="×"))+SUMPRODUCT((H9:I9=B21)*(J9="×"))+SUMPRODUCT((K9:L9=B21)*(M9="×"))+SUMPRODUCT((N9:O9=B21)*(P9="×"))+SUMPRODUCT((B11:C11=B21)*(D11="×"))+SUMPRODUCT((E11:F11=B21)*(G11="×"))+SUMPRODUCT((H11:I11=B21)*(J11="×"))+SUMPRODUCT((K11:L11=B21)*(M11="×"))+SUMPRODUCT((N11:O11=B21)*(P11="×"))+SUMPRODUCT((B13:C13=B21)*(D13="×"))+SUMPRODUCT((E13:F13=B21)*(G13="×"))+SUMPRODUCT((H13:I13=B21)*(J13="×"))+SUMPRODUCT((K13:L13=B21)*(M13="×"))+SUMPRODUCT((N13:O13=B21)*(P13="×"))+SUMPRODUCT((B15:C15=B21)*(D15="×"))+SUMPRODUCT((E15:F15=B21)*(G15="×"))+SUMPRODUCT((H15:I15=B21)*(J15="×"))+SUMPRODUCT((K15:L15=B21)*(M15="×"))+SUMPRODUCT((N15:O15=B21)*(P15="×"))+SUMPRODUCT((B17:C17=B21)*(D17="×"))+SUMPRODUCT((E17:F17=B21)*(G17="×"))+SUMPRODUCT((H17:I17=B21)*(J17="×"))+SUMPRODUCT((K17:L17=B21)*(M17="×"))+SUMPRODUCT((N17:O17=B21)*(P17="×")))))</f>
        <v/>
      </c>
      <c r="C23" s="19">
        <f>IF(C21="","",IF(C24="","",C24-(SUMPRODUCT((B5:C5=C21)*(D5="×"))+SUMPRODUCT((E5:F5=C21)*(G5="×"))+SUMPRODUCT((H5:I5=C21)*(J5="×"))+SUMPRODUCT((K5:L5=C21)*(M5="×"))+SUMPRODUCT((N5:O5=C21)*(P5="×"))+SUMPRODUCT((B7:C7=C21)*(D7="×"))+SUMPRODUCT((E7:F7=C21)*(G7="×"))+SUMPRODUCT((H7:I7=C21)*(J7="×"))+SUMPRODUCT((K7:L7=C21)*(M7="×"))+SUMPRODUCT((N7:O7=C21)*(P7="×"))+SUMPRODUCT((B9:C9=C21)*(D9="×"))+SUMPRODUCT((E9:F9=C21)*(G9="×"))+SUMPRODUCT((H9:I9=C21)*(J9="×"))+SUMPRODUCT((K9:L9=C21)*(M9="×"))+SUMPRODUCT((N9:O9=C21)*(P9="×"))+SUMPRODUCT((B11:C11=C21)*(D11="×"))+SUMPRODUCT((E11:F11=C21)*(G11="×"))+SUMPRODUCT((H11:I11=C21)*(J11="×"))+SUMPRODUCT((K11:L11=C21)*(M11="×"))+SUMPRODUCT((N11:O11=C21)*(P11="×"))+SUMPRODUCT((B13:C13=C21)*(D13="×"))+SUMPRODUCT((E13:F13=C21)*(G13="×"))+SUMPRODUCT((H13:I13=C21)*(J13="×"))+SUMPRODUCT((K13:L13=C21)*(M13="×"))+SUMPRODUCT((N13:O13=C21)*(P13="×"))+SUMPRODUCT((B15:C15=C21)*(D15="×"))+SUMPRODUCT((E15:F15=C21)*(G15="×"))+SUMPRODUCT((H15:I15=C21)*(J15="×"))+SUMPRODUCT((K15:L15=C21)*(M15="×"))+SUMPRODUCT((N15:O15=C21)*(P15="×"))+SUMPRODUCT((B17:C17=C21)*(D17="×"))+SUMPRODUCT((E17:F17=C21)*(G17="×"))+SUMPRODUCT((H17:I17=C21)*(J17="×"))+SUMPRODUCT((K17:L17=C21)*(M17="×"))+SUMPRODUCT((N17:O17=C21)*(P17="×")))))</f>
        <v/>
      </c>
      <c r="D23" s="19">
        <f>IF(D21="","",IF(D24="","",D24-(SUMPRODUCT((B5:C5=D21)*(D5="×"))+SUMPRODUCT((E5:F5=D21)*(G5="×"))+SUMPRODUCT((H5:I5=D21)*(J5="×"))+SUMPRODUCT((K5:L5=D21)*(M5="×"))+SUMPRODUCT((N5:O5=D21)*(P5="×"))+SUMPRODUCT((B7:C7=D21)*(D7="×"))+SUMPRODUCT((E7:F7=D21)*(G7="×"))+SUMPRODUCT((H7:I7=D21)*(J7="×"))+SUMPRODUCT((K7:L7=D21)*(M7="×"))+SUMPRODUCT((N7:O7=D21)*(P7="×"))+SUMPRODUCT((B9:C9=D21)*(D9="×"))+SUMPRODUCT((E9:F9=D21)*(G9="×"))+SUMPRODUCT((H9:I9=D21)*(J9="×"))+SUMPRODUCT((K9:L9=D21)*(M9="×"))+SUMPRODUCT((N9:O9=D21)*(P9="×"))+SUMPRODUCT((B11:C11=D21)*(D11="×"))+SUMPRODUCT((E11:F11=D21)*(G11="×"))+SUMPRODUCT((H11:I11=D21)*(J11="×"))+SUMPRODUCT((K11:L11=D21)*(M11="×"))+SUMPRODUCT((N11:O11=D21)*(P11="×"))+SUMPRODUCT((B13:C13=D21)*(D13="×"))+SUMPRODUCT((E13:F13=D21)*(G13="×"))+SUMPRODUCT((H13:I13=D21)*(J13="×"))+SUMPRODUCT((K13:L13=D21)*(M13="×"))+SUMPRODUCT((N13:O13=D21)*(P13="×"))+SUMPRODUCT((B15:C15=D21)*(D15="×"))+SUMPRODUCT((E15:F15=D21)*(G15="×"))+SUMPRODUCT((H15:I15=D21)*(J15="×"))+SUMPRODUCT((K15:L15=D21)*(M15="×"))+SUMPRODUCT((N15:O15=D21)*(P15="×"))+SUMPRODUCT((B17:C17=D21)*(D17="×"))+SUMPRODUCT((E17:F17=D21)*(G17="×"))+SUMPRODUCT((H17:I17=D21)*(J17="×"))+SUMPRODUCT((K17:L17=D21)*(M17="×"))+SUMPRODUCT((N17:O17=D21)*(P17="×")))))</f>
        <v/>
      </c>
      <c r="E23" s="19">
        <f>IF(E21="","",IF(E24="","",E24-(SUMPRODUCT((B5:C5=E21)*(D5="×"))+SUMPRODUCT((E5:F5=E21)*(G5="×"))+SUMPRODUCT((H5:I5=E21)*(J5="×"))+SUMPRODUCT((K5:L5=E21)*(M5="×"))+SUMPRODUCT((N5:O5=E21)*(P5="×"))+SUMPRODUCT((B7:C7=E21)*(D7="×"))+SUMPRODUCT((E7:F7=E21)*(G7="×"))+SUMPRODUCT((H7:I7=E21)*(J7="×"))+SUMPRODUCT((K7:L7=E21)*(M7="×"))+SUMPRODUCT((N7:O7=E21)*(P7="×"))+SUMPRODUCT((B9:C9=E21)*(D9="×"))+SUMPRODUCT((E9:F9=E21)*(G9="×"))+SUMPRODUCT((H9:I9=E21)*(J9="×"))+SUMPRODUCT((K9:L9=E21)*(M9="×"))+SUMPRODUCT((N9:O9=E21)*(P9="×"))+SUMPRODUCT((B11:C11=E21)*(D11="×"))+SUMPRODUCT((E11:F11=E21)*(G11="×"))+SUMPRODUCT((H11:I11=E21)*(J11="×"))+SUMPRODUCT((K11:L11=E21)*(M11="×"))+SUMPRODUCT((N11:O11=E21)*(P11="×"))+SUMPRODUCT((B13:C13=E21)*(D13="×"))+SUMPRODUCT((E13:F13=E21)*(G13="×"))+SUMPRODUCT((H13:I13=E21)*(J13="×"))+SUMPRODUCT((K13:L13=E21)*(M13="×"))+SUMPRODUCT((N13:O13=E21)*(P13="×"))+SUMPRODUCT((B15:C15=E21)*(D15="×"))+SUMPRODUCT((E15:F15=E21)*(G15="×"))+SUMPRODUCT((H15:I15=E21)*(J15="×"))+SUMPRODUCT((K15:L15=E21)*(M15="×"))+SUMPRODUCT((N15:O15=E21)*(P15="×"))+SUMPRODUCT((B17:C17=E21)*(D17="×"))+SUMPRODUCT((E17:F17=E21)*(G17="×"))+SUMPRODUCT((H17:I17=E21)*(J17="×"))+SUMPRODUCT((K17:L17=E21)*(M17="×"))+SUMPRODUCT((N17:O17=E21)*(P17="×")))))</f>
        <v/>
      </c>
      <c r="F23" s="19">
        <f>IF(F21="","",IF(F24="","",F24-(SUMPRODUCT((B5:C5=F21)*(D5="×"))+SUMPRODUCT((E5:F5=F21)*(G5="×"))+SUMPRODUCT((H5:I5=F21)*(J5="×"))+SUMPRODUCT((K5:L5=F21)*(M5="×"))+SUMPRODUCT((N5:O5=F21)*(P5="×"))+SUMPRODUCT((B7:C7=F21)*(D7="×"))+SUMPRODUCT((E7:F7=F21)*(G7="×"))+SUMPRODUCT((H7:I7=F21)*(J7="×"))+SUMPRODUCT((K7:L7=F21)*(M7="×"))+SUMPRODUCT((N7:O7=F21)*(P7="×"))+SUMPRODUCT((B9:C9=F21)*(D9="×"))+SUMPRODUCT((E9:F9=F21)*(G9="×"))+SUMPRODUCT((H9:I9=F21)*(J9="×"))+SUMPRODUCT((K9:L9=F21)*(M9="×"))+SUMPRODUCT((N9:O9=F21)*(P9="×"))+SUMPRODUCT((B11:C11=F21)*(D11="×"))+SUMPRODUCT((E11:F11=F21)*(G11="×"))+SUMPRODUCT((H11:I11=F21)*(J11="×"))+SUMPRODUCT((K11:L11=F21)*(M11="×"))+SUMPRODUCT((N11:O11=F21)*(P11="×"))+SUMPRODUCT((B13:C13=F21)*(D13="×"))+SUMPRODUCT((E13:F13=F21)*(G13="×"))+SUMPRODUCT((H13:I13=F21)*(J13="×"))+SUMPRODUCT((K13:L13=F21)*(M13="×"))+SUMPRODUCT((N13:O13=F21)*(P13="×"))+SUMPRODUCT((B15:C15=F21)*(D15="×"))+SUMPRODUCT((E15:F15=F21)*(G15="×"))+SUMPRODUCT((H15:I15=F21)*(J15="×"))+SUMPRODUCT((K15:L15=F21)*(M15="×"))+SUMPRODUCT((N15:O15=F21)*(P15="×"))+SUMPRODUCT((B17:C17=F21)*(D17="×"))+SUMPRODUCT((E17:F17=F21)*(G17="×"))+SUMPRODUCT((H17:I17=F21)*(J17="×"))+SUMPRODUCT((K17:L17=F21)*(M17="×"))+SUMPRODUCT((N17:O17=F21)*(P17="×")))))</f>
        <v/>
      </c>
      <c r="G23" s="19">
        <f>IF(G21="","",IF(G24="","",G24-(SUMPRODUCT((B5:C5=G21)*(D5="×"))+SUMPRODUCT((E5:F5=G21)*(G5="×"))+SUMPRODUCT((H5:I5=G21)*(J5="×"))+SUMPRODUCT((K5:L5=G21)*(M5="×"))+SUMPRODUCT((N5:O5=G21)*(P5="×"))+SUMPRODUCT((B7:C7=G21)*(D7="×"))+SUMPRODUCT((E7:F7=G21)*(G7="×"))+SUMPRODUCT((H7:I7=G21)*(J7="×"))+SUMPRODUCT((K7:L7=G21)*(M7="×"))+SUMPRODUCT((N7:O7=G21)*(P7="×"))+SUMPRODUCT((B9:C9=G21)*(D9="×"))+SUMPRODUCT((E9:F9=G21)*(G9="×"))+SUMPRODUCT((H9:I9=G21)*(J9="×"))+SUMPRODUCT((K9:L9=G21)*(M9="×"))+SUMPRODUCT((N9:O9=G21)*(P9="×"))+SUMPRODUCT((B11:C11=G21)*(D11="×"))+SUMPRODUCT((E11:F11=G21)*(G11="×"))+SUMPRODUCT((H11:I11=G21)*(J11="×"))+SUMPRODUCT((K11:L11=G21)*(M11="×"))+SUMPRODUCT((N11:O11=G21)*(P11="×"))+SUMPRODUCT((B13:C13=G21)*(D13="×"))+SUMPRODUCT((E13:F13=G21)*(G13="×"))+SUMPRODUCT((H13:I13=G21)*(J13="×"))+SUMPRODUCT((K13:L13=G21)*(M13="×"))+SUMPRODUCT((N13:O13=G21)*(P13="×"))+SUMPRODUCT((B15:C15=G21)*(D15="×"))+SUMPRODUCT((E15:F15=G21)*(G15="×"))+SUMPRODUCT((H15:I15=G21)*(J15="×"))+SUMPRODUCT((K15:L15=G21)*(M15="×"))+SUMPRODUCT((N15:O15=G21)*(P15="×"))+SUMPRODUCT((B17:C17=G21)*(D17="×"))+SUMPRODUCT((E17:F17=G21)*(G17="×"))+SUMPRODUCT((H17:I17=G21)*(J17="×"))+SUMPRODUCT((K17:L17=G21)*(M17="×"))+SUMPRODUCT((N17:O17=G21)*(P17="×")))))</f>
        <v/>
      </c>
      <c r="H23" s="19"/>
      <c r="I23" s="19"/>
      <c r="J23" s="19"/>
      <c r="K23" s="19"/>
      <c r="L23" s="19"/>
      <c r="M23" s="19">
        <f>IF(M24="","",M24-(SUMPRODUCT((B5:C5="特活")*(D5="×"))+SUMPRODUCT((B5:C5="学活")*(D5="×"))+SUMPRODUCT((E5:F5="特活")*(G5="×"))+SUMPRODUCT((E5:F5="学活")*(G5="×"))+SUMPRODUCT((H5:I5="特活")*(J5="×"))+SUMPRODUCT((H5:I5="学活")*(J5="×"))+SUMPRODUCT((K5:L5="特活")*(M5="×"))+SUMPRODUCT((K5:L5="学活")*(M5="×"))+SUMPRODUCT((N5:O5="特活")*(P5="×"))+SUMPRODUCT((N5:O5="学活")*(P5="×"))+SUMPRODUCT((B7:C7="特活")*(D7="×"))+SUMPRODUCT((B7:C7="学活")*(D7="×"))+SUMPRODUCT((E7:F7="特活")*(G7="×"))+SUMPRODUCT((E7:F7="学活")*(G7="×"))+SUMPRODUCT((H7:I7="特活")*(J7="×"))+SUMPRODUCT((H7:I7="学活")*(J7="×"))+SUMPRODUCT((K7:L7="特活")*(M7="×"))+SUMPRODUCT((K7:L7="学活")*(M7="×"))+SUMPRODUCT((N7:O7="特活")*(P7="×"))+SUMPRODUCT((N7:O7="学活")*(P7="×"))+SUMPRODUCT((B9:C9="特活")*(D9="×"))+SUMPRODUCT((B9:C9="学活")*(D9="×"))+SUMPRODUCT((E9:F9="特活")*(G9="×"))+SUMPRODUCT((E9:F9="学活")*(G9="×"))+SUMPRODUCT((H9:I9="特活")*(J9="×"))+SUMPRODUCT((H9:I9="学活")*(J9="×"))+SUMPRODUCT((K9:L9="特活")*(M9="×"))+SUMPRODUCT((K9:L9="学活")*(M9="×"))+SUMPRODUCT((N9:O9="特活")*(P9="×"))+SUMPRODUCT((N9:O9="学活")*(P9="×"))+SUMPRODUCT((B11:C11="特活")*(D11="×"))+SUMPRODUCT((B11:C11="学活")*(D11="×"))+SUMPRODUCT((E11:F11="特活")*(G11="×"))+SUMPRODUCT((E11:F11="学活")*(G11="×"))+SUMPRODUCT((H11:I11="特活")*(J11="×"))+SUMPRODUCT((H11:I11="学活")*(J11="×"))+SUMPRODUCT((K11:L11="特活")*(M11="×"))+SUMPRODUCT((K11:L11="学活")*(M11="×"))+SUMPRODUCT((N11:O11="特活")*(P11="×"))+SUMPRODUCT((N11:O11="学活")*(P11="×"))+SUMPRODUCT((B13:C13="特活")*(D13="×"))+SUMPRODUCT((B13:C13="学活")*(D13="×"))+SUMPRODUCT((E13:F13="特活")*(G13="×"))+SUMPRODUCT((E13:F13="学活")*(G13="×"))+SUMPRODUCT((H13:I13="特活")*(J13="×"))+SUMPRODUCT((H13:I13="学活")*(J13="×"))+SUMPRODUCT((K13:L13="特活")*(M13="×"))+SUMPRODUCT((K13:L13="学活")*(M13="×"))+SUMPRODUCT((N13:O13="特活")*(P13="×"))+SUMPRODUCT((N13:O13="学活")*(P13="×"))+SUMPRODUCT((B15:C15="特活")*(D15="×"))+SUMPRODUCT((B15:C15="学活")*(D15="×"))+SUMPRODUCT((E15:F15="特活")*(G15="×"))+SUMPRODUCT((E15:F15="学活")*(G15="×"))+SUMPRODUCT((H15:I15="特活")*(J15="×"))+SUMPRODUCT((H15:I15="学活")*(J15="×"))+SUMPRODUCT((K15:L15="特活")*(M15="×"))+SUMPRODUCT((K15:L15="学活")*(M15="×"))+SUMPRODUCT((N15:O15="特活")*(P15="×"))+SUMPRODUCT((N15:O15="学活")*(P15="×"))+SUMPRODUCT((B17:C17="特活")*(D17="×"))+SUMPRODUCT((B17:C17="学活")*(D17="×"))+SUMPRODUCT((E17:F17="特活")*(G17="×"))+SUMPRODUCT((E17:F17="学活")*(G17="×"))+SUMPRODUCT((H17:I17="特活")*(J17="×"))+SUMPRODUCT((H17:I17="学活")*(J17="×"))+SUMPRODUCT((K17:L17="特活")*(M17="×"))+SUMPRODUCT((K17:L17="学活")*(M17="×"))+SUMPRODUCT((N17:O17="特活")*(P17="×"))+SUMPRODUCT((N17:O17="学活")*(P17="×"))))</f>
        <v/>
      </c>
      <c r="N23" s="19">
        <f>IF(N24="","",N24-(SUMPRODUCT((B5:C5=N21)*(D5="×"))+SUMPRODUCT((E5:F5=N21)*(G5="×"))+SUMPRODUCT((H5:I5=N21)*(J5="×"))+SUMPRODUCT((K5:L5=N21)*(M5="×"))+SUMPRODUCT((N5:O5=N21)*(P5="×"))+SUMPRODUCT((B7:C7=N21)*(D7="×"))+SUMPRODUCT((E7:F7=N21)*(G7="×"))+SUMPRODUCT((H7:I7=N21)*(J7="×"))+SUMPRODUCT((K7:L7=N21)*(M7="×"))+SUMPRODUCT((N7:O7=N21)*(P7="×"))+SUMPRODUCT((B9:C9=N21)*(D9="×"))+SUMPRODUCT((E9:F9=N21)*(G9="×"))+SUMPRODUCT((H9:I9=N21)*(J9="×"))+SUMPRODUCT((K9:L9=N21)*(M9="×"))+SUMPRODUCT((N9:O9=N21)*(P9="×"))+SUMPRODUCT((B11:C11=N21)*(D11="×"))+SUMPRODUCT((E11:F11=N21)*(G11="×"))+SUMPRODUCT((H11:I11=N21)*(J11="×"))+SUMPRODUCT((K11:L11=N21)*(M11="×"))+SUMPRODUCT((N11:O11=N21)*(P11="×"))+SUMPRODUCT((B13:C13=N21)*(D13="×"))+SUMPRODUCT((E13:F13=N21)*(G13="×"))+SUMPRODUCT((H13:I13=N21)*(J13="×"))+SUMPRODUCT((K13:L13=N21)*(M13="×"))+SUMPRODUCT((N13:O13=N21)*(P13="×"))+SUMPRODUCT((B15:C15=N21)*(D15="×"))+SUMPRODUCT((E15:F15=N21)*(G15="×"))+SUMPRODUCT((H15:I15=N21)*(J15="×"))+SUMPRODUCT((K15:L15=N21)*(M15="×"))+SUMPRODUCT((N15:O15=N21)*(P15="×"))+SUMPRODUCT((B17:C17=N21)*(D17="×"))+SUMPRODUCT((E17:F17=N21)*(G17="×"))+SUMPRODUCT((H17:I17=N21)*(J17="×"))+SUMPRODUCT((K17:L17=N21)*(M17="×"))+SUMPRODUCT((N17:O17=N21)*(P17="×"))))</f>
        <v/>
      </c>
      <c r="O23" s="19">
        <f>IF(O24="","",O24-(SUMPRODUCT((B5:C5=O21)*(D5="×"))+SUMPRODUCT((E5:F5=O21)*(G5="×"))+SUMPRODUCT((H5:I5=O21)*(J5="×"))+SUMPRODUCT((K5:L5=O21)*(M5="×"))+SUMPRODUCT((N5:O5=O21)*(P5="×"))+SUMPRODUCT((B7:C7=O21)*(D7="×"))+SUMPRODUCT((E7:F7=O21)*(G7="×"))+SUMPRODUCT((H7:I7=O21)*(J7="×"))+SUMPRODUCT((K7:L7=O21)*(M7="×"))+SUMPRODUCT((N7:O7=O21)*(P7="×"))+SUMPRODUCT((B9:C9=O21)*(D9="×"))+SUMPRODUCT((E9:F9=O21)*(G9="×"))+SUMPRODUCT((H9:I9=O21)*(J9="×"))+SUMPRODUCT((K9:L9=O21)*(M9="×"))+SUMPRODUCT((N9:O9=O21)*(P9="×"))+SUMPRODUCT((B11:C11=O21)*(D11="×"))+SUMPRODUCT((E11:F11=O21)*(G11="×"))+SUMPRODUCT((H11:I11=O21)*(J11="×"))+SUMPRODUCT((K11:L11=O21)*(M11="×"))+SUMPRODUCT((N11:O11=O21)*(P11="×"))+SUMPRODUCT((B13:C13=O21)*(D13="×"))+SUMPRODUCT((E13:F13=O21)*(G13="×"))+SUMPRODUCT((H13:I13=O21)*(J13="×"))+SUMPRODUCT((K13:L13=O21)*(M13="×"))+SUMPRODUCT((N13:O13=O21)*(P13="×"))+SUMPRODUCT((B15:C15=O21)*(D15="×"))+SUMPRODUCT((E15:F15=O21)*(G15="×"))+SUMPRODUCT((H15:I15=O21)*(J15="×"))+SUMPRODUCT((K15:L15=O21)*(M15="×"))+SUMPRODUCT((N15:O15=O21)*(P15="×"))+SUMPRODUCT((B17:C17=O21)*(D17="×"))+SUMPRODUCT((E17:F17=O21)*(G17="×"))+SUMPRODUCT((H17:I17=O21)*(J17="×"))+SUMPRODUCT((K17:L17=O21)*(M17="×"))+SUMPRODUCT((N17:O17=O21)*(P17="×"))))</f>
        <v/>
      </c>
      <c r="P23" s="20">
        <f>IF(SUM(B23:O23)=0,"",SUM(B23:O23))</f>
        <v/>
      </c>
    </row>
    <row r="24" spans="1:16" ht="13.5" customHeight="1" x14ac:dyDescent="0.2">
      <c r="A24" s="36"/>
      <c r="B24" s="21">
        <f>IF(B21="","",IF(COUNTIF(B5:C5,B21)+COUNTIF(B5:C5,"*,"&amp;B21&amp;",*")+COUNTIF(E5:F5,B21)+COUNTIF(E5:F5,"*,"&amp;B21&amp;",*")+COUNTIF(H5:I5,B21)+COUNTIF(H5:I5,"*,"&amp;B21&amp;",*")+COUNTIF(K5:L5,B21)+COUNTIF(K5:L5,"*,"&amp;B21&amp;",*")+COUNTIF(N5:O5,B21)+COUNTIF(N5:O5,"*,"&amp;B21&amp;",*")+COUNTIF(B7:C7,B21)+COUNTIF(B7:C7,"*,"&amp;B21&amp;",*")+COUNTIF(E7:F7,B21)+COUNTIF(E7:F7,"*,"&amp;B21&amp;",*")+COUNTIF(H7:I7,B21)+COUNTIF(H7:I7,"*,"&amp;B21&amp;",*")+COUNTIF(K7:L7,B21)+COUNTIF(K7:L7,"*,"&amp;B21&amp;",*")+COUNTIF(N7:O7,B21)+COUNTIF(N7:O7,"*,"&amp;B21&amp;",*")+COUNTIF(B9:C9,B21)+COUNTIF(B9:C9,"*,"&amp;B21&amp;",*")+COUNTIF(E9:F9,B21)+COUNTIF(E9:F9,"*,"&amp;B21&amp;",*")+COUNTIF(H9:I9,B21)+COUNTIF(H9:I9,"*,"&amp;B21&amp;",*")+COUNTIF(K9:L9,B21)+COUNTIF(K9:L9,"*,"&amp;B21&amp;",*")+COUNTIF(N9:O9,B21)+COUNTIF(N9:O9,"*,"&amp;B21&amp;",*")+COUNTIF(B11:C11,B21)+COUNTIF(B11:C11,"*,"&amp;B21&amp;",*")+COUNTIF(E11:F11,B21)+COUNTIF(E11:F11,"*,"&amp;B21&amp;",*")+COUNTIF(H11:I11,B21)+COUNTIF(H11:I11,"*,"&amp;B21&amp;",*")+COUNTIF(K11:L11,B21)+COUNTIF(K11:L11,"*,"&amp;B21&amp;",*")+COUNTIF(N11:O11,B21)+COUNTIF(N11:O11,"*,"&amp;B21&amp;",*")+COUNTIF(B13:C13,B21)+COUNTIF(B13:C13,"*,"&amp;B21&amp;",*")+COUNTIF(E13:F13,B21)+COUNTIF(E13:F13,"*,"&amp;B21&amp;",*")+COUNTIF(H13:I13,B21)+COUNTIF(H13:I13,"*,"&amp;B21&amp;",*")+COUNTIF(K13:L13,B21)+COUNTIF(K13:L13,"*,"&amp;B21&amp;",*")+COUNTIF(N13:O13,B21)+COUNTIF(N13:O13,"*,"&amp;B21&amp;",*")+COUNTIF(B15:C15,B21)+COUNTIF(B15:C15,"*,"&amp;B21&amp;",*")+COUNTIF(E15:F15,B21)+COUNTIF(E15:F15,"*,"&amp;B21&amp;",*")+COUNTIF(H15:I15,B21)+COUNTIF(H15:I15,"*,"&amp;B21&amp;",*")+COUNTIF(K15:L15,B21)+COUNTIF(K15:L15,"*,"&amp;B21&amp;",*")+COUNTIF(N15:O15,B21)+COUNTIF(N15:O15,"*,"&amp;B21&amp;",*")+COUNTIF(B17:C17,B21)+COUNTIF(B17:C17,"*,"&amp;B21&amp;",*")+COUNTIF(E17:F17,B21)+COUNTIF(E17:F17,"*,"&amp;B21&amp;",*")+COUNTIF(H17:I17,B21)+COUNTIF(H17:I17,"*,"&amp;B21&amp;",*")+COUNTIF(K17:L17,B21)+COUNTIF(K17:L17,"*,"&amp;B21&amp;",*")+COUNTIF(N17:O17,B21)+COUNTIF(N17:O17,"*,"&amp;B21&amp;",*")=0,"",COUNTIF(B5:C5,B21)+COUNTIF(B5:C5,"*,"&amp;B21&amp;",*")+COUNTIF(E5:F5,B21)+COUNTIF(E5:F5,"*,"&amp;B21&amp;",*")+COUNTIF(H5:I5,B21)+COUNTIF(H5:I5,"*,"&amp;B21&amp;",*")+COUNTIF(K5:L5,B21)+COUNTIF(K5:L5,"*,"&amp;B21&amp;",*")+COUNTIF(N5:O5,B21)+COUNTIF(N5:O5,"*,"&amp;B21&amp;",*")+COUNTIF(B7:C7,B21)+COUNTIF(B7:C7,"*,"&amp;B21&amp;",*")+COUNTIF(E7:F7,B21)+COUNTIF(E7:F7,"*,"&amp;B21&amp;",*")+COUNTIF(H7:I7,B21)+COUNTIF(H7:I7,"*,"&amp;B21&amp;",*")+COUNTIF(K7:L7,B21)+COUNTIF(K7:L7,"*,"&amp;B21&amp;",*")+COUNTIF(N7:O7,B21)+COUNTIF(N7:O7,"*,"&amp;B21&amp;",*")+COUNTIF(B9:C9,B21)+COUNTIF(B9:C9,"*,"&amp;B21&amp;",*")+COUNTIF(E9:F9,B21)+COUNTIF(E9:F9,"*,"&amp;B21&amp;",*")+COUNTIF(H9:I9,B21)+COUNTIF(H9:I9,"*,"&amp;B21&amp;",*")+COUNTIF(K9:L9,B21)+COUNTIF(K9:L9,"*,"&amp;B21&amp;",*")+COUNTIF(N9:O9,B21)+COUNTIF(N9:O9,"*,"&amp;B21&amp;",*")+COUNTIF(B11:C11,B21)+COUNTIF(B11:C11,"*,"&amp;B21&amp;",*")+COUNTIF(E11:F11,B21)+COUNTIF(E11:F11,"*,"&amp;B21&amp;",*")+COUNTIF(H11:I11,B21)+COUNTIF(H11:I11,"*,"&amp;B21&amp;",*")+COUNTIF(K11:L11,B21)+COUNTIF(K11:L11,"*,"&amp;B21&amp;",*")+COUNTIF(N11:O11,B21)+COUNTIF(N11:O11,"*,"&amp;B21&amp;",*")+COUNTIF(B13:C13,B21)+COUNTIF(B13:C13,"*,"&amp;B21&amp;",*")+COUNTIF(E13:F13,B21)+COUNTIF(E13:F13,"*,"&amp;B21&amp;",*")+COUNTIF(H13:I13,B21)+COUNTIF(H13:I13,"*,"&amp;B21&amp;",*")+COUNTIF(K13:L13,B21)+COUNTIF(K13:L13,"*,"&amp;B21&amp;",*")+COUNTIF(N13:O13,B21)+COUNTIF(N13:O13,"*,"&amp;B21&amp;",*")+COUNTIF(B15:C15,B21)+COUNTIF(B15:C15,"*,"&amp;B21&amp;",*")+COUNTIF(E15:F15,B21)+COUNTIF(E15:F15,"*,"&amp;B21&amp;",*")+COUNTIF(H15:I15,B21)+COUNTIF(H15:I15,"*,"&amp;B21&amp;",*")+COUNTIF(K15:L15,B21)+COUNTIF(K15:L15,"*,"&amp;B21&amp;",*")+COUNTIF(N15:O15,B21)+COUNTIF(N15:O15,"*,"&amp;B21&amp;",*")+COUNTIF(B17:C17,B21)+COUNTIF(B17:C17,"*,"&amp;B21&amp;",*")+COUNTIF(E17:F17,B21)+COUNTIF(E17:F17,"*,"&amp;B21&amp;",*")+COUNTIF(H17:I17,B21)+COUNTIF(H17:I17,"*,"&amp;B21&amp;",*")+COUNTIF(K17:L17,B21)+COUNTIF(K17:L17,"*,"&amp;B21&amp;",*")+COUNTIF(N17:O17,B21)+COUNTIF(N17:O17,"*,"&amp;B21&amp;",*")))</f>
        <v/>
      </c>
      <c r="C24" s="21">
        <f>IF(C21="","",IF(COUNTIF(B5:C5,C21)+COUNTIF(B5:C5,"*,"&amp;C21&amp;",*")+COUNTIF(E5:F5,C21)+COUNTIF(E5:F5,"*,"&amp;C21&amp;",*")+COUNTIF(H5:I5,C21)+COUNTIF(H5:I5,"*,"&amp;C21&amp;",*")+COUNTIF(K5:L5,C21)+COUNTIF(K5:L5,"*,"&amp;C21&amp;",*")+COUNTIF(N5:O5,C21)+COUNTIF(N5:O5,"*,"&amp;C21&amp;",*")+COUNTIF(B7:C7,C21)+COUNTIF(B7:C7,"*,"&amp;C21&amp;",*")+COUNTIF(E7:F7,C21)+COUNTIF(E7:F7,"*,"&amp;C21&amp;",*")+COUNTIF(H7:I7,C21)+COUNTIF(H7:I7,"*,"&amp;C21&amp;",*")+COUNTIF(K7:L7,C21)+COUNTIF(K7:L7,"*,"&amp;C21&amp;",*")+COUNTIF(N7:O7,C21)+COUNTIF(N7:O7,"*,"&amp;C21&amp;",*")+COUNTIF(B9:C9,C21)+COUNTIF(B9:C9,"*,"&amp;C21&amp;",*")+COUNTIF(E9:F9,C21)+COUNTIF(E9:F9,"*,"&amp;C21&amp;",*")+COUNTIF(H9:I9,C21)+COUNTIF(H9:I9,"*,"&amp;C21&amp;",*")+COUNTIF(K9:L9,C21)+COUNTIF(K9:L9,"*,"&amp;C21&amp;",*")+COUNTIF(N9:O9,C21)+COUNTIF(N9:O9,"*,"&amp;C21&amp;",*")+COUNTIF(B11:C11,C21)+COUNTIF(B11:C11,"*,"&amp;C21&amp;",*")+COUNTIF(E11:F11,C21)+COUNTIF(E11:F11,"*,"&amp;C21&amp;",*")+COUNTIF(H11:I11,C21)+COUNTIF(H11:I11,"*,"&amp;C21&amp;",*")+COUNTIF(K11:L11,C21)+COUNTIF(K11:L11,"*,"&amp;C21&amp;",*")+COUNTIF(N11:O11,C21)+COUNTIF(N11:O11,"*,"&amp;C21&amp;",*")+COUNTIF(B13:C13,C21)+COUNTIF(B13:C13,"*,"&amp;C21&amp;",*")+COUNTIF(E13:F13,C21)+COUNTIF(E13:F13,"*,"&amp;C21&amp;",*")+COUNTIF(H13:I13,C21)+COUNTIF(H13:I13,"*,"&amp;C21&amp;",*")+COUNTIF(K13:L13,C21)+COUNTIF(K13:L13,"*,"&amp;C21&amp;",*")+COUNTIF(N13:O13,C21)+COUNTIF(N13:O13,"*,"&amp;C21&amp;",*")+COUNTIF(B15:C15,C21)+COUNTIF(B15:C15,"*,"&amp;C21&amp;",*")+COUNTIF(E15:F15,C21)+COUNTIF(E15:F15,"*,"&amp;C21&amp;",*")+COUNTIF(H15:I15,C21)+COUNTIF(H15:I15,"*,"&amp;C21&amp;",*")+COUNTIF(K15:L15,C21)+COUNTIF(K15:L15,"*,"&amp;C21&amp;",*")+COUNTIF(N15:O15,C21)+COUNTIF(N15:O15,"*,"&amp;C21&amp;",*")+COUNTIF(B17:C17,C21)+COUNTIF(B17:C17,"*,"&amp;C21&amp;",*")+COUNTIF(E17:F17,C21)+COUNTIF(E17:F17,"*,"&amp;C21&amp;",*")+COUNTIF(H17:I17,C21)+COUNTIF(H17:I17,"*,"&amp;C21&amp;",*")+COUNTIF(K17:L17,C21)+COUNTIF(K17:L17,"*,"&amp;C21&amp;",*")+COUNTIF(N17:O17,C21)+COUNTIF(N17:O17,"*,"&amp;C21&amp;",*")=0,"",COUNTIF(B5:C5,C21)+COUNTIF(B5:C5,"*,"&amp;C21&amp;",*")+COUNTIF(E5:F5,C21)+COUNTIF(E5:F5,"*,"&amp;C21&amp;",*")+COUNTIF(H5:I5,C21)+COUNTIF(H5:I5,"*,"&amp;C21&amp;",*")+COUNTIF(K5:L5,C21)+COUNTIF(K5:L5,"*,"&amp;C21&amp;",*")+COUNTIF(N5:O5,C21)+COUNTIF(N5:O5,"*,"&amp;C21&amp;",*")+COUNTIF(B7:C7,C21)+COUNTIF(B7:C7,"*,"&amp;C21&amp;",*")+COUNTIF(E7:F7,C21)+COUNTIF(E7:F7,"*,"&amp;C21&amp;",*")+COUNTIF(H7:I7,C21)+COUNTIF(H7:I7,"*,"&amp;C21&amp;",*")+COUNTIF(K7:L7,C21)+COUNTIF(K7:L7,"*,"&amp;C21&amp;",*")+COUNTIF(N7:O7,C21)+COUNTIF(N7:O7,"*,"&amp;C21&amp;",*")+COUNTIF(B9:C9,C21)+COUNTIF(B9:C9,"*,"&amp;C21&amp;",*")+COUNTIF(E9:F9,C21)+COUNTIF(E9:F9,"*,"&amp;C21&amp;",*")+COUNTIF(H9:I9,C21)+COUNTIF(H9:I9,"*,"&amp;C21&amp;",*")+COUNTIF(K9:L9,C21)+COUNTIF(K9:L9,"*,"&amp;C21&amp;",*")+COUNTIF(N9:O9,C21)+COUNTIF(N9:O9,"*,"&amp;C21&amp;",*")+COUNTIF(B11:C11,C21)+COUNTIF(B11:C11,"*,"&amp;C21&amp;",*")+COUNTIF(E11:F11,C21)+COUNTIF(E11:F11,"*,"&amp;C21&amp;",*")+COUNTIF(H11:I11,C21)+COUNTIF(H11:I11,"*,"&amp;C21&amp;",*")+COUNTIF(K11:L11,C21)+COUNTIF(K11:L11,"*,"&amp;C21&amp;",*")+COUNTIF(N11:O11,C21)+COUNTIF(N11:O11,"*,"&amp;C21&amp;",*")+COUNTIF(B13:C13,C21)+COUNTIF(B13:C13,"*,"&amp;C21&amp;",*")+COUNTIF(E13:F13,C21)+COUNTIF(E13:F13,"*,"&amp;C21&amp;",*")+COUNTIF(H13:I13,C21)+COUNTIF(H13:I13,"*,"&amp;C21&amp;",*")+COUNTIF(K13:L13,C21)+COUNTIF(K13:L13,"*,"&amp;C21&amp;",*")+COUNTIF(N13:O13,C21)+COUNTIF(N13:O13,"*,"&amp;C21&amp;",*")+COUNTIF(B15:C15,C21)+COUNTIF(B15:C15,"*,"&amp;C21&amp;",*")+COUNTIF(E15:F15,C21)+COUNTIF(E15:F15,"*,"&amp;C21&amp;",*")+COUNTIF(H15:I15,C21)+COUNTIF(H15:I15,"*,"&amp;C21&amp;",*")+COUNTIF(K15:L15,C21)+COUNTIF(K15:L15,"*,"&amp;C21&amp;",*")+COUNTIF(N15:O15,C21)+COUNTIF(N15:O15,"*,"&amp;C21&amp;",*")+COUNTIF(B17:C17,C21)+COUNTIF(B17:C17,"*,"&amp;C21&amp;",*")+COUNTIF(E17:F17,C21)+COUNTIF(E17:F17,"*,"&amp;C21&amp;",*")+COUNTIF(H17:I17,C21)+COUNTIF(H17:I17,"*,"&amp;C21&amp;",*")+COUNTIF(K17:L17,C21)+COUNTIF(K17:L17,"*,"&amp;C21&amp;",*")+COUNTIF(N17:O17,C21)+COUNTIF(N17:O17,"*,"&amp;C21&amp;",*")))</f>
        <v/>
      </c>
      <c r="D24" s="21">
        <f>IF(D21="","",IF(COUNTIF(B5:C5,D21)+COUNTIF(B5:C5,"*,"&amp;D21&amp;",*")+COUNTIF(E5:F5,D21)+COUNTIF(E5:F5,"*,"&amp;D21&amp;",*")+COUNTIF(H5:I5,D21)+COUNTIF(H5:I5,"*,"&amp;D21&amp;",*")+COUNTIF(K5:L5,D21)+COUNTIF(K5:L5,"*,"&amp;D21&amp;",*")+COUNTIF(N5:O5,D21)+COUNTIF(N5:O5,"*,"&amp;D21&amp;",*")+COUNTIF(B7:C7,D21)+COUNTIF(B7:C7,"*,"&amp;D21&amp;",*")+COUNTIF(E7:F7,D21)+COUNTIF(E7:F7,"*,"&amp;D21&amp;",*")+COUNTIF(H7:I7,D21)+COUNTIF(H7:I7,"*,"&amp;D21&amp;",*")+COUNTIF(K7:L7,D21)+COUNTIF(K7:L7,"*,"&amp;D21&amp;",*")+COUNTIF(N7:O7,D21)+COUNTIF(N7:O7,"*,"&amp;D21&amp;",*")+COUNTIF(B9:C9,D21)+COUNTIF(B9:C9,"*,"&amp;D21&amp;",*")+COUNTIF(E9:F9,D21)+COUNTIF(E9:F9,"*,"&amp;D21&amp;",*")+COUNTIF(H9:I9,D21)+COUNTIF(H9:I9,"*,"&amp;D21&amp;",*")+COUNTIF(K9:L9,D21)+COUNTIF(K9:L9,"*,"&amp;D21&amp;",*")+COUNTIF(N9:O9,D21)+COUNTIF(N9:O9,"*,"&amp;D21&amp;",*")+COUNTIF(B11:C11,D21)+COUNTIF(B11:C11,"*,"&amp;D21&amp;",*")+COUNTIF(E11:F11,D21)+COUNTIF(E11:F11,"*,"&amp;D21&amp;",*")+COUNTIF(H11:I11,D21)+COUNTIF(H11:I11,"*,"&amp;D21&amp;",*")+COUNTIF(K11:L11,D21)+COUNTIF(K11:L11,"*,"&amp;D21&amp;",*")+COUNTIF(N11:O11,D21)+COUNTIF(N11:O11,"*,"&amp;D21&amp;",*")+COUNTIF(B13:C13,D21)+COUNTIF(B13:C13,"*,"&amp;D21&amp;",*")+COUNTIF(E13:F13,D21)+COUNTIF(E13:F13,"*,"&amp;D21&amp;",*")+COUNTIF(H13:I13,D21)+COUNTIF(H13:I13,"*,"&amp;D21&amp;",*")+COUNTIF(K13:L13,D21)+COUNTIF(K13:L13,"*,"&amp;D21&amp;",*")+COUNTIF(N13:O13,D21)+COUNTIF(N13:O13,"*,"&amp;D21&amp;",*")+COUNTIF(B15:C15,D21)+COUNTIF(B15:C15,"*,"&amp;D21&amp;",*")+COUNTIF(E15:F15,D21)+COUNTIF(E15:F15,"*,"&amp;D21&amp;",*")+COUNTIF(H15:I15,D21)+COUNTIF(H15:I15,"*,"&amp;D21&amp;",*")+COUNTIF(K15:L15,D21)+COUNTIF(K15:L15,"*,"&amp;D21&amp;",*")+COUNTIF(N15:O15,D21)+COUNTIF(N15:O15,"*,"&amp;D21&amp;",*")+COUNTIF(B17:C17,D21)+COUNTIF(B17:C17,"*,"&amp;D21&amp;",*")+COUNTIF(E17:F17,D21)+COUNTIF(E17:F17,"*,"&amp;D21&amp;",*")+COUNTIF(H17:I17,D21)+COUNTIF(H17:I17,"*,"&amp;D21&amp;",*")+COUNTIF(K17:L17,D21)+COUNTIF(K17:L17,"*,"&amp;D21&amp;",*")+COUNTIF(N17:O17,D21)+COUNTIF(N17:O17,"*,"&amp;D21&amp;",*")=0,"",COUNTIF(B5:C5,D21)+COUNTIF(B5:C5,"*,"&amp;D21&amp;",*")+COUNTIF(E5:F5,D21)+COUNTIF(E5:F5,"*,"&amp;D21&amp;",*")+COUNTIF(H5:I5,D21)+COUNTIF(H5:I5,"*,"&amp;D21&amp;",*")+COUNTIF(K5:L5,D21)+COUNTIF(K5:L5,"*,"&amp;D21&amp;",*")+COUNTIF(N5:O5,D21)+COUNTIF(N5:O5,"*,"&amp;D21&amp;",*")+COUNTIF(B7:C7,D21)+COUNTIF(B7:C7,"*,"&amp;D21&amp;",*")+COUNTIF(E7:F7,D21)+COUNTIF(E7:F7,"*,"&amp;D21&amp;",*")+COUNTIF(H7:I7,D21)+COUNTIF(H7:I7,"*,"&amp;D21&amp;",*")+COUNTIF(K7:L7,D21)+COUNTIF(K7:L7,"*,"&amp;D21&amp;",*")+COUNTIF(N7:O7,D21)+COUNTIF(N7:O7,"*,"&amp;D21&amp;",*")+COUNTIF(B9:C9,D21)+COUNTIF(B9:C9,"*,"&amp;D21&amp;",*")+COUNTIF(E9:F9,D21)+COUNTIF(E9:F9,"*,"&amp;D21&amp;",*")+COUNTIF(H9:I9,D21)+COUNTIF(H9:I9,"*,"&amp;D21&amp;",*")+COUNTIF(K9:L9,D21)+COUNTIF(K9:L9,"*,"&amp;D21&amp;",*")+COUNTIF(N9:O9,D21)+COUNTIF(N9:O9,"*,"&amp;D21&amp;",*")+COUNTIF(B11:C11,D21)+COUNTIF(B11:C11,"*,"&amp;D21&amp;",*")+COUNTIF(E11:F11,D21)+COUNTIF(E11:F11,"*,"&amp;D21&amp;",*")+COUNTIF(H11:I11,D21)+COUNTIF(H11:I11,"*,"&amp;D21&amp;",*")+COUNTIF(K11:L11,D21)+COUNTIF(K11:L11,"*,"&amp;D21&amp;",*")+COUNTIF(N11:O11,D21)+COUNTIF(N11:O11,"*,"&amp;D21&amp;",*")+COUNTIF(B13:C13,D21)+COUNTIF(B13:C13,"*,"&amp;D21&amp;",*")+COUNTIF(E13:F13,D21)+COUNTIF(E13:F13,"*,"&amp;D21&amp;",*")+COUNTIF(H13:I13,D21)+COUNTIF(H13:I13,"*,"&amp;D21&amp;",*")+COUNTIF(K13:L13,D21)+COUNTIF(K13:L13,"*,"&amp;D21&amp;",*")+COUNTIF(N13:O13,D21)+COUNTIF(N13:O13,"*,"&amp;D21&amp;",*")+COUNTIF(B15:C15,D21)+COUNTIF(B15:C15,"*,"&amp;D21&amp;",*")+COUNTIF(E15:F15,D21)+COUNTIF(E15:F15,"*,"&amp;D21&amp;",*")+COUNTIF(H15:I15,D21)+COUNTIF(H15:I15,"*,"&amp;D21&amp;",*")+COUNTIF(K15:L15,D21)+COUNTIF(K15:L15,"*,"&amp;D21&amp;",*")+COUNTIF(N15:O15,D21)+COUNTIF(N15:O15,"*,"&amp;D21&amp;",*")+COUNTIF(B17:C17,D21)+COUNTIF(B17:C17,"*,"&amp;D21&amp;",*")+COUNTIF(E17:F17,D21)+COUNTIF(E17:F17,"*,"&amp;D21&amp;",*")+COUNTIF(H17:I17,D21)+COUNTIF(H17:I17,"*,"&amp;D21&amp;",*")+COUNTIF(K17:L17,D21)+COUNTIF(K17:L17,"*,"&amp;D21&amp;",*")+COUNTIF(N17:O17,D21)+COUNTIF(N17:O17,"*,"&amp;D21&amp;",*")))</f>
        <v/>
      </c>
      <c r="E24" s="21">
        <f>IF(E21="","",IF(COUNTIF(B5:C5,E21)+COUNTIF(B5:C5,"*,"&amp;E21&amp;",*")+COUNTIF(E5:F5,E21)+COUNTIF(E5:F5,"*,"&amp;E21&amp;",*")+COUNTIF(H5:I5,E21)+COUNTIF(H5:I5,"*,"&amp;E21&amp;",*")+COUNTIF(K5:L5,E21)+COUNTIF(K5:L5,"*,"&amp;E21&amp;",*")+COUNTIF(N5:O5,E21)+COUNTIF(N5:O5,"*,"&amp;E21&amp;",*")+COUNTIF(B7:C7,E21)+COUNTIF(B7:C7,"*,"&amp;E21&amp;",*")+COUNTIF(E7:F7,E21)+COUNTIF(E7:F7,"*,"&amp;E21&amp;",*")+COUNTIF(H7:I7,E21)+COUNTIF(H7:I7,"*,"&amp;E21&amp;",*")+COUNTIF(K7:L7,E21)+COUNTIF(K7:L7,"*,"&amp;E21&amp;",*")+COUNTIF(N7:O7,E21)+COUNTIF(N7:O7,"*,"&amp;E21&amp;",*")+COUNTIF(B9:C9,E21)+COUNTIF(B9:C9,"*,"&amp;E21&amp;",*")+COUNTIF(E9:F9,E21)+COUNTIF(E9:F9,"*,"&amp;E21&amp;",*")+COUNTIF(H9:I9,E21)+COUNTIF(H9:I9,"*,"&amp;E21&amp;",*")+COUNTIF(K9:L9,E21)+COUNTIF(K9:L9,"*,"&amp;E21&amp;",*")+COUNTIF(N9:O9,E21)+COUNTIF(N9:O9,"*,"&amp;E21&amp;",*")+COUNTIF(B11:C11,E21)+COUNTIF(B11:C11,"*,"&amp;E21&amp;",*")+COUNTIF(E11:F11,E21)+COUNTIF(E11:F11,"*,"&amp;E21&amp;",*")+COUNTIF(H11:I11,E21)+COUNTIF(H11:I11,"*,"&amp;E21&amp;",*")+COUNTIF(K11:L11,E21)+COUNTIF(K11:L11,"*,"&amp;E21&amp;",*")+COUNTIF(N11:O11,E21)+COUNTIF(N11:O11,"*,"&amp;E21&amp;",*")+COUNTIF(B13:C13,E21)+COUNTIF(B13:C13,"*,"&amp;E21&amp;",*")+COUNTIF(E13:F13,E21)+COUNTIF(E13:F13,"*,"&amp;E21&amp;",*")+COUNTIF(H13:I13,E21)+COUNTIF(H13:I13,"*,"&amp;E21&amp;",*")+COUNTIF(K13:L13,E21)+COUNTIF(K13:L13,"*,"&amp;E21&amp;",*")+COUNTIF(N13:O13,E21)+COUNTIF(N13:O13,"*,"&amp;E21&amp;",*")+COUNTIF(B15:C15,E21)+COUNTIF(B15:C15,"*,"&amp;E21&amp;",*")+COUNTIF(E15:F15,E21)+COUNTIF(E15:F15,"*,"&amp;E21&amp;",*")+COUNTIF(H15:I15,E21)+COUNTIF(H15:I15,"*,"&amp;E21&amp;",*")+COUNTIF(K15:L15,E21)+COUNTIF(K15:L15,"*,"&amp;E21&amp;",*")+COUNTIF(N15:O15,E21)+COUNTIF(N15:O15,"*,"&amp;E21&amp;",*")+COUNTIF(B17:C17,E21)+COUNTIF(B17:C17,"*,"&amp;E21&amp;",*")+COUNTIF(E17:F17,E21)+COUNTIF(E17:F17,"*,"&amp;E21&amp;",*")+COUNTIF(H17:I17,E21)+COUNTIF(H17:I17,"*,"&amp;E21&amp;",*")+COUNTIF(K17:L17,E21)+COUNTIF(K17:L17,"*,"&amp;E21&amp;",*")+COUNTIF(N17:O17,E21)+COUNTIF(N17:O17,"*,"&amp;E21&amp;",*")=0,"",COUNTIF(B5:C5,E21)+COUNTIF(B5:C5,"*,"&amp;E21&amp;",*")+COUNTIF(E5:F5,E21)+COUNTIF(E5:F5,"*,"&amp;E21&amp;",*")+COUNTIF(H5:I5,E21)+COUNTIF(H5:I5,"*,"&amp;E21&amp;",*")+COUNTIF(K5:L5,E21)+COUNTIF(K5:L5,"*,"&amp;E21&amp;",*")+COUNTIF(N5:O5,E21)+COUNTIF(N5:O5,"*,"&amp;E21&amp;",*")+COUNTIF(B7:C7,E21)+COUNTIF(B7:C7,"*,"&amp;E21&amp;",*")+COUNTIF(E7:F7,E21)+COUNTIF(E7:F7,"*,"&amp;E21&amp;",*")+COUNTIF(H7:I7,E21)+COUNTIF(H7:I7,"*,"&amp;E21&amp;",*")+COUNTIF(K7:L7,E21)+COUNTIF(K7:L7,"*,"&amp;E21&amp;",*")+COUNTIF(N7:O7,E21)+COUNTIF(N7:O7,"*,"&amp;E21&amp;",*")+COUNTIF(B9:C9,E21)+COUNTIF(B9:C9,"*,"&amp;E21&amp;",*")+COUNTIF(E9:F9,E21)+COUNTIF(E9:F9,"*,"&amp;E21&amp;",*")+COUNTIF(H9:I9,E21)+COUNTIF(H9:I9,"*,"&amp;E21&amp;",*")+COUNTIF(K9:L9,E21)+COUNTIF(K9:L9,"*,"&amp;E21&amp;",*")+COUNTIF(N9:O9,E21)+COUNTIF(N9:O9,"*,"&amp;E21&amp;",*")+COUNTIF(B11:C11,E21)+COUNTIF(B11:C11,"*,"&amp;E21&amp;",*")+COUNTIF(E11:F11,E21)+COUNTIF(E11:F11,"*,"&amp;E21&amp;",*")+COUNTIF(H11:I11,E21)+COUNTIF(H11:I11,"*,"&amp;E21&amp;",*")+COUNTIF(K11:L11,E21)+COUNTIF(K11:L11,"*,"&amp;E21&amp;",*")+COUNTIF(N11:O11,E21)+COUNTIF(N11:O11,"*,"&amp;E21&amp;",*")+COUNTIF(B13:C13,E21)+COUNTIF(B13:C13,"*,"&amp;E21&amp;",*")+COUNTIF(E13:F13,E21)+COUNTIF(E13:F13,"*,"&amp;E21&amp;",*")+COUNTIF(H13:I13,E21)+COUNTIF(H13:I13,"*,"&amp;E21&amp;",*")+COUNTIF(K13:L13,E21)+COUNTIF(K13:L13,"*,"&amp;E21&amp;",*")+COUNTIF(N13:O13,E21)+COUNTIF(N13:O13,"*,"&amp;E21&amp;",*")+COUNTIF(B15:C15,E21)+COUNTIF(B15:C15,"*,"&amp;E21&amp;",*")+COUNTIF(E15:F15,E21)+COUNTIF(E15:F15,"*,"&amp;E21&amp;",*")+COUNTIF(H15:I15,E21)+COUNTIF(H15:I15,"*,"&amp;E21&amp;",*")+COUNTIF(K15:L15,E21)+COUNTIF(K15:L15,"*,"&amp;E21&amp;",*")+COUNTIF(N15:O15,E21)+COUNTIF(N15:O15,"*,"&amp;E21&amp;",*")+COUNTIF(B17:C17,E21)+COUNTIF(B17:C17,"*,"&amp;E21&amp;",*")+COUNTIF(E17:F17,E21)+COUNTIF(E17:F17,"*,"&amp;E21&amp;",*")+COUNTIF(H17:I17,E21)+COUNTIF(H17:I17,"*,"&amp;E21&amp;",*")+COUNTIF(K17:L17,E21)+COUNTIF(K17:L17,"*,"&amp;E21&amp;",*")+COUNTIF(N17:O17,E21)+COUNTIF(N17:O17,"*,"&amp;E21&amp;",*")))</f>
        <v/>
      </c>
      <c r="F24" s="21">
        <f>IF(F21="","",IF(COUNTIF(B5:C5,F21)+COUNTIF(B5:C5,"*,"&amp;F21&amp;",*")+COUNTIF(E5:F5,F21)+COUNTIF(E5:F5,"*,"&amp;F21&amp;",*")+COUNTIF(H5:I5,F21)+COUNTIF(H5:I5,"*,"&amp;F21&amp;",*")+COUNTIF(K5:L5,F21)+COUNTIF(K5:L5,"*,"&amp;F21&amp;",*")+COUNTIF(N5:O5,F21)+COUNTIF(N5:O5,"*,"&amp;F21&amp;",*")+COUNTIF(B7:C7,F21)+COUNTIF(B7:C7,"*,"&amp;F21&amp;",*")+COUNTIF(E7:F7,F21)+COUNTIF(E7:F7,"*,"&amp;F21&amp;",*")+COUNTIF(H7:I7,F21)+COUNTIF(H7:I7,"*,"&amp;F21&amp;",*")+COUNTIF(K7:L7,F21)+COUNTIF(K7:L7,"*,"&amp;F21&amp;",*")+COUNTIF(N7:O7,F21)+COUNTIF(N7:O7,"*,"&amp;F21&amp;",*")+COUNTIF(B9:C9,F21)+COUNTIF(B9:C9,"*,"&amp;F21&amp;",*")+COUNTIF(E9:F9,F21)+COUNTIF(E9:F9,"*,"&amp;F21&amp;",*")+COUNTIF(H9:I9,F21)+COUNTIF(H9:I9,"*,"&amp;F21&amp;",*")+COUNTIF(K9:L9,F21)+COUNTIF(K9:L9,"*,"&amp;F21&amp;",*")+COUNTIF(N9:O9,F21)+COUNTIF(N9:O9,"*,"&amp;F21&amp;",*")+COUNTIF(B11:C11,F21)+COUNTIF(B11:C11,"*,"&amp;F21&amp;",*")+COUNTIF(E11:F11,F21)+COUNTIF(E11:F11,"*,"&amp;F21&amp;",*")+COUNTIF(H11:I11,F21)+COUNTIF(H11:I11,"*,"&amp;F21&amp;",*")+COUNTIF(K11:L11,F21)+COUNTIF(K11:L11,"*,"&amp;F21&amp;",*")+COUNTIF(N11:O11,F21)+COUNTIF(N11:O11,"*,"&amp;F21&amp;",*")+COUNTIF(B13:C13,F21)+COUNTIF(B13:C13,"*,"&amp;F21&amp;",*")+COUNTIF(E13:F13,F21)+COUNTIF(E13:F13,"*,"&amp;F21&amp;",*")+COUNTIF(H13:I13,F21)+COUNTIF(H13:I13,"*,"&amp;F21&amp;",*")+COUNTIF(K13:L13,F21)+COUNTIF(K13:L13,"*,"&amp;F21&amp;",*")+COUNTIF(N13:O13,F21)+COUNTIF(N13:O13,"*,"&amp;F21&amp;",*")+COUNTIF(B15:C15,F21)+COUNTIF(B15:C15,"*,"&amp;F21&amp;",*")+COUNTIF(E15:F15,F21)+COUNTIF(E15:F15,"*,"&amp;F21&amp;",*")+COUNTIF(H15:I15,F21)+COUNTIF(H15:I15,"*,"&amp;F21&amp;",*")+COUNTIF(K15:L15,F21)+COUNTIF(K15:L15,"*,"&amp;F21&amp;",*")+COUNTIF(N15:O15,F21)+COUNTIF(N15:O15,"*,"&amp;F21&amp;",*")+COUNTIF(B17:C17,F21)+COUNTIF(B17:C17,"*,"&amp;F21&amp;",*")+COUNTIF(E17:F17,F21)+COUNTIF(E17:F17,"*,"&amp;F21&amp;",*")+COUNTIF(H17:I17,F21)+COUNTIF(H17:I17,"*,"&amp;F21&amp;",*")+COUNTIF(K17:L17,F21)+COUNTIF(K17:L17,"*,"&amp;F21&amp;",*")+COUNTIF(N17:O17,F21)+COUNTIF(N17:O17,"*,"&amp;F21&amp;",*")=0,"",COUNTIF(B5:C5,F21)+COUNTIF(B5:C5,"*,"&amp;F21&amp;",*")+COUNTIF(E5:F5,F21)+COUNTIF(E5:F5,"*,"&amp;F21&amp;",*")+COUNTIF(H5:I5,F21)+COUNTIF(H5:I5,"*,"&amp;F21&amp;",*")+COUNTIF(K5:L5,F21)+COUNTIF(K5:L5,"*,"&amp;F21&amp;",*")+COUNTIF(N5:O5,F21)+COUNTIF(N5:O5,"*,"&amp;F21&amp;",*")+COUNTIF(B7:C7,F21)+COUNTIF(B7:C7,"*,"&amp;F21&amp;",*")+COUNTIF(E7:F7,F21)+COUNTIF(E7:F7,"*,"&amp;F21&amp;",*")+COUNTIF(H7:I7,F21)+COUNTIF(H7:I7,"*,"&amp;F21&amp;",*")+COUNTIF(K7:L7,F21)+COUNTIF(K7:L7,"*,"&amp;F21&amp;",*")+COUNTIF(N7:O7,F21)+COUNTIF(N7:O7,"*,"&amp;F21&amp;",*")+COUNTIF(B9:C9,F21)+COUNTIF(B9:C9,"*,"&amp;F21&amp;",*")+COUNTIF(E9:F9,F21)+COUNTIF(E9:F9,"*,"&amp;F21&amp;",*")+COUNTIF(H9:I9,F21)+COUNTIF(H9:I9,"*,"&amp;F21&amp;",*")+COUNTIF(K9:L9,F21)+COUNTIF(K9:L9,"*,"&amp;F21&amp;",*")+COUNTIF(N9:O9,F21)+COUNTIF(N9:O9,"*,"&amp;F21&amp;",*")+COUNTIF(B11:C11,F21)+COUNTIF(B11:C11,"*,"&amp;F21&amp;",*")+COUNTIF(E11:F11,F21)+COUNTIF(E11:F11,"*,"&amp;F21&amp;",*")+COUNTIF(H11:I11,F21)+COUNTIF(H11:I11,"*,"&amp;F21&amp;",*")+COUNTIF(K11:L11,F21)+COUNTIF(K11:L11,"*,"&amp;F21&amp;",*")+COUNTIF(N11:O11,F21)+COUNTIF(N11:O11,"*,"&amp;F21&amp;",*")+COUNTIF(B13:C13,F21)+COUNTIF(B13:C13,"*,"&amp;F21&amp;",*")+COUNTIF(E13:F13,F21)+COUNTIF(E13:F13,"*,"&amp;F21&amp;",*")+COUNTIF(H13:I13,F21)+COUNTIF(H13:I13,"*,"&amp;F21&amp;",*")+COUNTIF(K13:L13,F21)+COUNTIF(K13:L13,"*,"&amp;F21&amp;",*")+COUNTIF(N13:O13,F21)+COUNTIF(N13:O13,"*,"&amp;F21&amp;",*")+COUNTIF(B15:C15,F21)+COUNTIF(B15:C15,"*,"&amp;F21&amp;",*")+COUNTIF(E15:F15,F21)+COUNTIF(E15:F15,"*,"&amp;F21&amp;",*")+COUNTIF(H15:I15,F21)+COUNTIF(H15:I15,"*,"&amp;F21&amp;",*")+COUNTIF(K15:L15,F21)+COUNTIF(K15:L15,"*,"&amp;F21&amp;",*")+COUNTIF(N15:O15,F21)+COUNTIF(N15:O15,"*,"&amp;F21&amp;",*")+COUNTIF(B17:C17,F21)+COUNTIF(B17:C17,"*,"&amp;F21&amp;",*")+COUNTIF(E17:F17,F21)+COUNTIF(E17:F17,"*,"&amp;F21&amp;",*")+COUNTIF(H17:I17,F21)+COUNTIF(H17:I17,"*,"&amp;F21&amp;",*")+COUNTIF(K17:L17,F21)+COUNTIF(K17:L17,"*,"&amp;F21&amp;",*")+COUNTIF(N17:O17,F21)+COUNTIF(N17:O17,"*,"&amp;F21&amp;",*")))</f>
        <v/>
      </c>
      <c r="G24" s="21">
        <f>IF(G21="","",IF(COUNTIF(B5:C5,G21)+COUNTIF(B5:C5,"*,"&amp;G21&amp;",*")+COUNTIF(E5:F5,G21)+COUNTIF(E5:F5,"*,"&amp;G21&amp;",*")+COUNTIF(H5:I5,G21)+COUNTIF(H5:I5,"*,"&amp;G21&amp;",*")+COUNTIF(K5:L5,G21)+COUNTIF(K5:L5,"*,"&amp;G21&amp;",*")+COUNTIF(N5:O5,G21)+COUNTIF(N5:O5,"*,"&amp;G21&amp;",*")+COUNTIF(B7:C7,G21)+COUNTIF(B7:C7,"*,"&amp;G21&amp;",*")+COUNTIF(E7:F7,G21)+COUNTIF(E7:F7,"*,"&amp;G21&amp;",*")+COUNTIF(H7:I7,G21)+COUNTIF(H7:I7,"*,"&amp;G21&amp;",*")+COUNTIF(K7:L7,G21)+COUNTIF(K7:L7,"*,"&amp;G21&amp;",*")+COUNTIF(N7:O7,G21)+COUNTIF(N7:O7,"*,"&amp;G21&amp;",*")+COUNTIF(B9:C9,G21)+COUNTIF(B9:C9,"*,"&amp;G21&amp;",*")+COUNTIF(E9:F9,G21)+COUNTIF(E9:F9,"*,"&amp;G21&amp;",*")+COUNTIF(H9:I9,G21)+COUNTIF(H9:I9,"*,"&amp;G21&amp;",*")+COUNTIF(K9:L9,G21)+COUNTIF(K9:L9,"*,"&amp;G21&amp;",*")+COUNTIF(N9:O9,G21)+COUNTIF(N9:O9,"*,"&amp;G21&amp;",*")+COUNTIF(B11:C11,G21)+COUNTIF(B11:C11,"*,"&amp;G21&amp;",*")+COUNTIF(E11:F11,G21)+COUNTIF(E11:F11,"*,"&amp;G21&amp;",*")+COUNTIF(H11:I11,G21)+COUNTIF(H11:I11,"*,"&amp;G21&amp;",*")+COUNTIF(K11:L11,G21)+COUNTIF(K11:L11,"*,"&amp;G21&amp;",*")+COUNTIF(N11:O11,G21)+COUNTIF(N11:O11,"*,"&amp;G21&amp;",*")+COUNTIF(B13:C13,G21)+COUNTIF(B13:C13,"*,"&amp;G21&amp;",*")+COUNTIF(E13:F13,G21)+COUNTIF(E13:F13,"*,"&amp;G21&amp;",*")+COUNTIF(H13:I13,G21)+COUNTIF(H13:I13,"*,"&amp;G21&amp;",*")+COUNTIF(K13:L13,G21)+COUNTIF(K13:L13,"*,"&amp;G21&amp;",*")+COUNTIF(N13:O13,G21)+COUNTIF(N13:O13,"*,"&amp;G21&amp;",*")+COUNTIF(B15:C15,G21)+COUNTIF(B15:C15,"*,"&amp;G21&amp;",*")+COUNTIF(E15:F15,G21)+COUNTIF(E15:F15,"*,"&amp;G21&amp;",*")+COUNTIF(H15:I15,G21)+COUNTIF(H15:I15,"*,"&amp;G21&amp;",*")+COUNTIF(K15:L15,G21)+COUNTIF(K15:L15,"*,"&amp;G21&amp;",*")+COUNTIF(N15:O15,G21)+COUNTIF(N15:O15,"*,"&amp;G21&amp;",*")+COUNTIF(B17:C17,G21)+COUNTIF(B17:C17,"*,"&amp;G21&amp;",*")+COUNTIF(E17:F17,G21)+COUNTIF(E17:F17,"*,"&amp;G21&amp;",*")+COUNTIF(H17:I17,G21)+COUNTIF(H17:I17,"*,"&amp;G21&amp;",*")+COUNTIF(K17:L17,G21)+COUNTIF(K17:L17,"*,"&amp;G21&amp;",*")+COUNTIF(N17:O17,G21)+COUNTIF(N17:O17,"*,"&amp;G21&amp;",*")=0,"",COUNTIF(B5:C5,G21)+COUNTIF(B5:C5,"*,"&amp;G21&amp;",*")+COUNTIF(E5:F5,G21)+COUNTIF(E5:F5,"*,"&amp;G21&amp;",*")+COUNTIF(H5:I5,G21)+COUNTIF(H5:I5,"*,"&amp;G21&amp;",*")+COUNTIF(K5:L5,G21)+COUNTIF(K5:L5,"*,"&amp;G21&amp;",*")+COUNTIF(N5:O5,G21)+COUNTIF(N5:O5,"*,"&amp;G21&amp;",*")+COUNTIF(B7:C7,G21)+COUNTIF(B7:C7,"*,"&amp;G21&amp;",*")+COUNTIF(E7:F7,G21)+COUNTIF(E7:F7,"*,"&amp;G21&amp;",*")+COUNTIF(H7:I7,G21)+COUNTIF(H7:I7,"*,"&amp;G21&amp;",*")+COUNTIF(K7:L7,G21)+COUNTIF(K7:L7,"*,"&amp;G21&amp;",*")+COUNTIF(N7:O7,G21)+COUNTIF(N7:O7,"*,"&amp;G21&amp;",*")+COUNTIF(B9:C9,G21)+COUNTIF(B9:C9,"*,"&amp;G21&amp;",*")+COUNTIF(E9:F9,G21)+COUNTIF(E9:F9,"*,"&amp;G21&amp;",*")+COUNTIF(H9:I9,G21)+COUNTIF(H9:I9,"*,"&amp;G21&amp;",*")+COUNTIF(K9:L9,G21)+COUNTIF(K9:L9,"*,"&amp;G21&amp;",*")+COUNTIF(N9:O9,G21)+COUNTIF(N9:O9,"*,"&amp;G21&amp;",*")+COUNTIF(B11:C11,G21)+COUNTIF(B11:C11,"*,"&amp;G21&amp;",*")+COUNTIF(E11:F11,G21)+COUNTIF(E11:F11,"*,"&amp;G21&amp;",*")+COUNTIF(H11:I11,G21)+COUNTIF(H11:I11,"*,"&amp;G21&amp;",*")+COUNTIF(K11:L11,G21)+COUNTIF(K11:L11,"*,"&amp;G21&amp;",*")+COUNTIF(N11:O11,G21)+COUNTIF(N11:O11,"*,"&amp;G21&amp;",*")+COUNTIF(B13:C13,G21)+COUNTIF(B13:C13,"*,"&amp;G21&amp;",*")+COUNTIF(E13:F13,G21)+COUNTIF(E13:F13,"*,"&amp;G21&amp;",*")+COUNTIF(H13:I13,G21)+COUNTIF(H13:I13,"*,"&amp;G21&amp;",*")+COUNTIF(K13:L13,G21)+COUNTIF(K13:L13,"*,"&amp;G21&amp;",*")+COUNTIF(N13:O13,G21)+COUNTIF(N13:O13,"*,"&amp;G21&amp;",*")+COUNTIF(B15:C15,G21)+COUNTIF(B15:C15,"*,"&amp;G21&amp;",*")+COUNTIF(E15:F15,G21)+COUNTIF(E15:F15,"*,"&amp;G21&amp;",*")+COUNTIF(H15:I15,G21)+COUNTIF(H15:I15,"*,"&amp;G21&amp;",*")+COUNTIF(K15:L15,G21)+COUNTIF(K15:L15,"*,"&amp;G21&amp;",*")+COUNTIF(N15:O15,G21)+COUNTIF(N15:O15,"*,"&amp;G21&amp;",*")+COUNTIF(B17:C17,G21)+COUNTIF(B17:C17,"*,"&amp;G21&amp;",*")+COUNTIF(E17:F17,G21)+COUNTIF(E17:F17,"*,"&amp;G21&amp;",*")+COUNTIF(H17:I17,G21)+COUNTIF(H17:I17,"*,"&amp;G21&amp;",*")+COUNTIF(K17:L17,G21)+COUNTIF(K17:L17,"*,"&amp;G21&amp;",*")+COUNTIF(N17:O17,G21)+COUNTIF(N17:O17,"*,"&amp;G21&amp;",*")))</f>
        <v/>
      </c>
      <c r="H24" s="21"/>
      <c r="I24" s="21"/>
      <c r="J24" s="21"/>
      <c r="K24" s="21"/>
      <c r="L24" s="21"/>
      <c r="M24" s="21">
        <f>IF(COUNTIF(B5:C5,"特活")+COUNTIF(B5:C5,"学活")+COUNTIF(E5:F5,"特活")+COUNTIF(E5:F5,"学活")+COUNTIF(H5:I5,"特活")+COUNTIF(H5:I5,"学活")+COUNTIF(K5:L5,"特活")+COUNTIF(K5:L5,"学活")+COUNTIF(N5:O5,"特活")+COUNTIF(N5:O5,"学活")+COUNTIF(B7:C7,"特活")+COUNTIF(B7:C7,"学活")+COUNTIF(E7:F7,"特活")+COUNTIF(E7:F7,"学活")+COUNTIF(H7:I7,"特活")+COUNTIF(H7:I7,"学活")+COUNTIF(K7:L7,"特活")+COUNTIF(K7:L7,"学活")+COUNTIF(N7:O7,"特活")+COUNTIF(N7:O7,"学活")+COUNTIF(B9:C9,"特活")+COUNTIF(B9:C9,"学活")+COUNTIF(E9:F9,"特活")+COUNTIF(E9:F9,"学活")+COUNTIF(H9:I9,"特活")+COUNTIF(H9:I9,"学活")+COUNTIF(K9:L9,"特活")+COUNTIF(K9:L9,"学活")+COUNTIF(N9:O9,"特活")+COUNTIF(N9:O9,"学活")+COUNTIF(B11:C11,"特活")+COUNTIF(B11:C11,"学活")+COUNTIF(E11:F11,"特活")+COUNTIF(E11:F11,"学活")+COUNTIF(H11:I11,"特活")+COUNTIF(H11:I11,"学活")+COUNTIF(K11:L11,"特活")+COUNTIF(K11:L11,"学活")+COUNTIF(N11:O11,"特活")+COUNTIF(N11:O11,"学活")+COUNTIF(B13:C13,"特活")+COUNTIF(B13:C13,"学活")+COUNTIF(E13:F13,"特活")+COUNTIF(E13:F13,"学活")+COUNTIF(H13:I13,"特活")+COUNTIF(H13:I13,"学活")+COUNTIF(K13:L13,"特活")+COUNTIF(K13:L13,"学活")+COUNTIF(N13:O13,"特活")+COUNTIF(N13:O13,"学活")+COUNTIF(B15:C15,"特活")+COUNTIF(B15:C15,"学活")+COUNTIF(E15:F15,"特活")+COUNTIF(E15:F15,"学活")+COUNTIF(H15:I15,"特活")+COUNTIF(H15:I15,"学活")+COUNTIF(K15:L15,"特活")+COUNTIF(K15:L15,"学活")+COUNTIF(N15:O15,"特活")+COUNTIF(N15:O15,"学活")+COUNTIF(B17:C17,"特活")+COUNTIF(B17:C17,"学活")+COUNTIF(E17:F17,"特活")+COUNTIF(E17:F17,"学活")+COUNTIF(H17:I17,"特活")+COUNTIF(H17:I17,"学活")+COUNTIF(K17:L17,"特活")+COUNTIF(K17:L17,"学活")+COUNTIF(N17:O17,"特活")+COUNTIF(N17:O17,"学活")=0,"",COUNTIF(B5:C5,"特活")+COUNTIF(B5:C5,"学活")+COUNTIF(E5:F5,"特活")+COUNTIF(E5:F5,"学活")+COUNTIF(H5:I5,"特活")+COUNTIF(H5:I5,"学活")+COUNTIF(K5:L5,"特活")+COUNTIF(K5:L5,"学活")+COUNTIF(N5:O5,"特活")+COUNTIF(N5:O5,"学活")+COUNTIF(B7:C7,"特活")+COUNTIF(B7:C7,"学活")+COUNTIF(E7:F7,"特活")+COUNTIF(E7:F7,"学活")+COUNTIF(H7:I7,"特活")+COUNTIF(H7:I7,"学活")+COUNTIF(K7:L7,"特活")+COUNTIF(K7:L7,"学活")+COUNTIF(N7:O7,"特活")+COUNTIF(N7:O7,"学活")+COUNTIF(B9:C9,"特活")+COUNTIF(B9:C9,"学活")+COUNTIF(E9:F9,"特活")+COUNTIF(E9:F9,"学活")+COUNTIF(H9:I9,"特活")+COUNTIF(H9:I9,"学活")+COUNTIF(K9:L9,"特活")+COUNTIF(K9:L9,"学活")+COUNTIF(N9:O9,"特活")+COUNTIF(N9:O9,"学活")+COUNTIF(B11:C11,"特活")+COUNTIF(B11:C11,"学活")+COUNTIF(E11:F11,"特活")+COUNTIF(E11:F11,"学活")+COUNTIF(H11:I11,"特活")+COUNTIF(H11:I11,"学活")+COUNTIF(K11:L11,"特活")+COUNTIF(K11:L11,"学活")+COUNTIF(N11:O11,"特活")+COUNTIF(N11:O11,"学活")+COUNTIF(B13:C13,"特活")+COUNTIF(B13:C13,"学活")+COUNTIF(E13:F13,"特活")+COUNTIF(E13:F13,"学活")+COUNTIF(H13:I13,"特活")+COUNTIF(H13:I13,"学活")+COUNTIF(K13:L13,"特活")+COUNTIF(K13:L13,"学活")+COUNTIF(N13:O13,"特活")+COUNTIF(N13:O13,"学活")+COUNTIF(B15:C15,"特活")+COUNTIF(B15:C15,"学活")+COUNTIF(E15:F15,"特活")+COUNTIF(E15:F15,"学活")+COUNTIF(H15:I15,"特活")+COUNTIF(H15:I15,"学活")+COUNTIF(K15:L15,"特活")+COUNTIF(K15:L15,"学活")+COUNTIF(N15:O15,"特活")+COUNTIF(N15:O15,"学活")+COUNTIF(B17:C17,"特活")+COUNTIF(B17:C17,"学活")+COUNTIF(E17:F17,"特活")+COUNTIF(E17:F17,"学活")+COUNTIF(H17:I17,"特活")+COUNTIF(H17:I17,"学活")+COUNTIF(K17:L17,"特活")+COUNTIF(K17:L17,"学活")+COUNTIF(N17:O17,"特活")+COUNTIF(N17:O17,"学活"))</f>
        <v/>
      </c>
      <c r="N24" s="21">
        <f>IF(COUNTIF(B5:C5,N21)+COUNTIF(B5:C5,"*,"&amp;N21&amp;",*")+COUNTIF(E5:F5,N21)+COUNTIF(E5:F5,"*,"&amp;N21&amp;",*")+COUNTIF(H5:I5,N21)+COUNTIF(H5:I5,"*,"&amp;N21&amp;",*")+COUNTIF(K5:L5,N21)+COUNTIF(K5:L5,"*,"&amp;N21&amp;",*")+COUNTIF(N5:O5,N21)+COUNTIF(N5:O5,"*,"&amp;N21&amp;",*")+COUNTIF(B7:C7,N21)+COUNTIF(B7:C7,"*,"&amp;N21&amp;",*")+COUNTIF(E7:F7,N21)+COUNTIF(E7:F7,"*,"&amp;N21&amp;",*")+COUNTIF(H7:I7,N21)+COUNTIF(H7:I7,"*,"&amp;N21&amp;",*")+COUNTIF(K7:L7,N21)+COUNTIF(K7:L7,"*,"&amp;N21&amp;",*")+COUNTIF(N7:O7,N21)+COUNTIF(N7:O7,"*,"&amp;N21&amp;",*")+COUNTIF(B9:C9,N21)+COUNTIF(B9:C9,"*,"&amp;N21&amp;",*")+COUNTIF(E9:F9,N21)+COUNTIF(E9:F9,"*,"&amp;N21&amp;",*")+COUNTIF(H9:I9,N21)+COUNTIF(H9:I9,"*,"&amp;N21&amp;",*")+COUNTIF(K9:L9,N21)+COUNTIF(K9:L9,"*,"&amp;N21&amp;",*")+COUNTIF(N9:O9,N21)+COUNTIF(N9:O9,"*,"&amp;N21&amp;",*")+COUNTIF(B11:C11,N21)+COUNTIF(B11:C11,"*,"&amp;N21&amp;",*")+COUNTIF(E11:F11,N21)+COUNTIF(E11:F11,"*,"&amp;N21&amp;",*")+COUNTIF(H11:I11,N21)+COUNTIF(H11:I11,"*,"&amp;N21&amp;",*")+COUNTIF(K11:L11,N21)+COUNTIF(K11:L11,"*,"&amp;N21&amp;",*")+COUNTIF(N11:O11,N21)+COUNTIF(N11:O11,"*,"&amp;N21&amp;",*")+COUNTIF(B13:C13,N21)+COUNTIF(B13:C13,"*,"&amp;N21&amp;",*")+COUNTIF(E13:F13,N21)+COUNTIF(E13:F13,"*,"&amp;N21&amp;",*")+COUNTIF(H13:I13,N21)+COUNTIF(H13:I13,"*,"&amp;N21&amp;",*")+COUNTIF(K13:L13,N21)+COUNTIF(K13:L13,"*,"&amp;N21&amp;",*")+COUNTIF(N13:O13,N21)+COUNTIF(N13:O13,"*,"&amp;N21&amp;",*")+COUNTIF(B15:C15,N21)+COUNTIF(B15:C15,"*,"&amp;N21&amp;",*")+COUNTIF(E15:F15,N21)+COUNTIF(E15:F15,"*,"&amp;N21&amp;",*")+COUNTIF(H15:I15,N21)+COUNTIF(H15:I15,"*,"&amp;N21&amp;",*")+COUNTIF(K15:L15,N21)+COUNTIF(K15:L15,"*,"&amp;N21&amp;",*")+COUNTIF(N15:O15,N21)+COUNTIF(N15:O15,"*,"&amp;N21&amp;",*")+COUNTIF(B17:C17,N21)+COUNTIF(B17:C17,"*,"&amp;N21&amp;",*")+COUNTIF(E17:F17,N21)+COUNTIF(E17:F17,"*,"&amp;N21&amp;",*")+COUNTIF(H17:I17,N21)+COUNTIF(H17:I17,"*,"&amp;N21&amp;",*")+COUNTIF(K17:L17,N21)+COUNTIF(K17:L17,"*,"&amp;N21&amp;",*")+COUNTIF(N17:O17,N21)+COUNTIF(N17:O17,"*,"&amp;N21&amp;",*")=0,"",COUNTIF(B5:C5,N21)+COUNTIF(B5:C5,"*,"&amp;N21&amp;",*")+COUNTIF(E5:F5,N21)+COUNTIF(E5:F5,"*,"&amp;N21&amp;",*")+COUNTIF(H5:I5,N21)+COUNTIF(H5:I5,"*,"&amp;N21&amp;",*")+COUNTIF(K5:L5,N21)+COUNTIF(K5:L5,"*,"&amp;N21&amp;",*")+COUNTIF(N5:O5,N21)+COUNTIF(N5:O5,"*,"&amp;N21&amp;",*")+COUNTIF(B7:C7,N21)+COUNTIF(B7:C7,"*,"&amp;N21&amp;",*")+COUNTIF(E7:F7,N21)+COUNTIF(E7:F7,"*,"&amp;N21&amp;",*")+COUNTIF(H7:I7,N21)+COUNTIF(H7:I7,"*,"&amp;N21&amp;",*")+COUNTIF(K7:L7,N21)+COUNTIF(K7:L7,"*,"&amp;N21&amp;",*")+COUNTIF(N7:O7,N21)+COUNTIF(N7:O7,"*,"&amp;N21&amp;",*")+COUNTIF(B9:C9,N21)+COUNTIF(B9:C9,"*,"&amp;N21&amp;",*")+COUNTIF(E9:F9,N21)+COUNTIF(E9:F9,"*,"&amp;N21&amp;",*")+COUNTIF(H9:I9,N21)+COUNTIF(H9:I9,"*,"&amp;N21&amp;",*")+COUNTIF(K9:L9,N21)+COUNTIF(K9:L9,"*,"&amp;N21&amp;",*")+COUNTIF(N9:O9,N21)+COUNTIF(N9:O9,"*,"&amp;N21&amp;",*")+COUNTIF(B11:C11,N21)+COUNTIF(B11:C11,"*,"&amp;N21&amp;",*")+COUNTIF(E11:F11,N21)+COUNTIF(E11:F11,"*,"&amp;N21&amp;",*")+COUNTIF(H11:I11,N21)+COUNTIF(H11:I11,"*,"&amp;N21&amp;",*")+COUNTIF(K11:L11,N21)+COUNTIF(K11:L11,"*,"&amp;N21&amp;",*")+COUNTIF(N11:O11,N21)+COUNTIF(N11:O11,"*,"&amp;N21&amp;",*")+COUNTIF(B13:C13,N21)+COUNTIF(B13:C13,"*,"&amp;N21&amp;",*")+COUNTIF(E13:F13,N21)+COUNTIF(E13:F13,"*,"&amp;N21&amp;",*")+COUNTIF(H13:I13,N21)+COUNTIF(H13:I13,"*,"&amp;N21&amp;",*")+COUNTIF(K13:L13,N21)+COUNTIF(K13:L13,"*,"&amp;N21&amp;",*")+COUNTIF(N13:O13,N21)+COUNTIF(N13:O13,"*,"&amp;N21&amp;",*")+COUNTIF(B15:C15,N21)+COUNTIF(B15:C15,"*,"&amp;N21&amp;",*")+COUNTIF(E15:F15,N21)+COUNTIF(E15:F15,"*,"&amp;N21&amp;",*")+COUNTIF(H15:I15,N21)+COUNTIF(H15:I15,"*,"&amp;N21&amp;",*")+COUNTIF(K15:L15,N21)+COUNTIF(K15:L15,"*,"&amp;N21&amp;",*")+COUNTIF(N15:O15,N21)+COUNTIF(N15:O15,"*,"&amp;N21&amp;",*")+COUNTIF(B17:C17,N21)+COUNTIF(B17:C17,"*,"&amp;N21&amp;",*")+COUNTIF(E17:F17,N21)+COUNTIF(E17:F17,"*,"&amp;N21&amp;",*")+COUNTIF(H17:I17,N21)+COUNTIF(H17:I17,"*,"&amp;N21&amp;",*")+COUNTIF(K17:L17,N21)+COUNTIF(K17:L17,"*,"&amp;N21&amp;",*")+COUNTIF(N17:O17,N21)+COUNTIF(N17:O17,"*,"&amp;N21&amp;",*"))</f>
        <v/>
      </c>
      <c r="O24" s="21">
        <f>IF(COUNTIF(B5:C5,O21)+COUNTIF(B5:C5,"*,"&amp;O21&amp;",*")+COUNTIF(E5:F5,O21)+COUNTIF(E5:F5,"*,"&amp;O21&amp;",*")+COUNTIF(H5:I5,O21)+COUNTIF(H5:I5,"*,"&amp;O21&amp;",*")+COUNTIF(K5:L5,O21)+COUNTIF(K5:L5,"*,"&amp;O21&amp;",*")+COUNTIF(N5:O5,O21)+COUNTIF(N5:O5,"*,"&amp;O21&amp;",*")+COUNTIF(B7:C7,O21)+COUNTIF(B7:C7,"*,"&amp;O21&amp;",*")+COUNTIF(E7:F7,O21)+COUNTIF(E7:F7,"*,"&amp;O21&amp;",*")+COUNTIF(H7:I7,O21)+COUNTIF(H7:I7,"*,"&amp;O21&amp;",*")+COUNTIF(K7:L7,O21)+COUNTIF(K7:L7,"*,"&amp;O21&amp;",*")+COUNTIF(N7:O7,O21)+COUNTIF(N7:O7,"*,"&amp;O21&amp;",*")+COUNTIF(B9:C9,O21)+COUNTIF(B9:C9,"*,"&amp;O21&amp;",*")+COUNTIF(E9:F9,O21)+COUNTIF(E9:F9,"*,"&amp;O21&amp;",*")+COUNTIF(H9:I9,O21)+COUNTIF(H9:I9,"*,"&amp;O21&amp;",*")+COUNTIF(K9:L9,O21)+COUNTIF(K9:L9,"*,"&amp;O21&amp;",*")+COUNTIF(N9:O9,O21)+COUNTIF(N9:O9,"*,"&amp;O21&amp;",*")+COUNTIF(B11:C11,O21)+COUNTIF(B11:C11,"*,"&amp;O21&amp;",*")+COUNTIF(E11:F11,O21)+COUNTIF(E11:F11,"*,"&amp;O21&amp;",*")+COUNTIF(H11:I11,O21)+COUNTIF(H11:I11,"*,"&amp;O21&amp;",*")+COUNTIF(K11:L11,O21)+COUNTIF(K11:L11,"*,"&amp;O21&amp;",*")+COUNTIF(N11:O11,O21)+COUNTIF(N11:O11,"*,"&amp;O21&amp;",*")+COUNTIF(B13:C13,O21)+COUNTIF(B13:C13,"*,"&amp;O21&amp;",*")+COUNTIF(E13:F13,O21)+COUNTIF(E13:F13,"*,"&amp;O21&amp;",*")+COUNTIF(H13:I13,O21)+COUNTIF(H13:I13,"*,"&amp;O21&amp;",*")+COUNTIF(K13:L13,O21)+COUNTIF(K13:L13,"*,"&amp;O21&amp;",*")+COUNTIF(N13:O13,O21)+COUNTIF(N13:O13,"*,"&amp;O21&amp;",*")+COUNTIF(B15:C15,O21)+COUNTIF(B15:C15,"*,"&amp;O21&amp;",*")+COUNTIF(E15:F15,O21)+COUNTIF(E15:F15,"*,"&amp;O21&amp;",*")+COUNTIF(H15:I15,O21)+COUNTIF(H15:I15,"*,"&amp;O21&amp;",*")+COUNTIF(K15:L15,O21)+COUNTIF(K15:L15,"*,"&amp;O21&amp;",*")+COUNTIF(N15:O15,O21)+COUNTIF(N15:O15,"*,"&amp;O21&amp;",*")+COUNTIF(B17:C17,O21)+COUNTIF(B17:C17,"*,"&amp;O21&amp;",*")+COUNTIF(E17:F17,O21)+COUNTIF(E17:F17,"*,"&amp;O21&amp;",*")+COUNTIF(H17:I17,O21)+COUNTIF(H17:I17,"*,"&amp;O21&amp;",*")+COUNTIF(K17:L17,O21)+COUNTIF(K17:L17,"*,"&amp;O21&amp;",*")+COUNTIF(N17:O17,O21)+COUNTIF(N17:O17,"*,"&amp;O21&amp;",*")=0,"",COUNTIF(B5:C5,O21)+COUNTIF(B5:C5,"*,"&amp;O21&amp;",*")+COUNTIF(E5:F5,O21)+COUNTIF(E5:F5,"*,"&amp;O21&amp;",*")+COUNTIF(H5:I5,O21)+COUNTIF(H5:I5,"*,"&amp;O21&amp;",*")+COUNTIF(K5:L5,O21)+COUNTIF(K5:L5,"*,"&amp;O21&amp;",*")+COUNTIF(N5:O5,O21)+COUNTIF(N5:O5,"*,"&amp;O21&amp;",*")+COUNTIF(B7:C7,O21)+COUNTIF(B7:C7,"*,"&amp;O21&amp;",*")+COUNTIF(E7:F7,O21)+COUNTIF(E7:F7,"*,"&amp;O21&amp;",*")+COUNTIF(H7:I7,O21)+COUNTIF(H7:I7,"*,"&amp;O21&amp;",*")+COUNTIF(K7:L7,O21)+COUNTIF(K7:L7,"*,"&amp;O21&amp;",*")+COUNTIF(N7:O7,O21)+COUNTIF(N7:O7,"*,"&amp;O21&amp;",*")+COUNTIF(B9:C9,O21)+COUNTIF(B9:C9,"*,"&amp;O21&amp;",*")+COUNTIF(E9:F9,O21)+COUNTIF(E9:F9,"*,"&amp;O21&amp;",*")+COUNTIF(H9:I9,O21)+COUNTIF(H9:I9,"*,"&amp;O21&amp;",*")+COUNTIF(K9:L9,O21)+COUNTIF(K9:L9,"*,"&amp;O21&amp;",*")+COUNTIF(N9:O9,O21)+COUNTIF(N9:O9,"*,"&amp;O21&amp;",*")+COUNTIF(B11:C11,O21)+COUNTIF(B11:C11,"*,"&amp;O21&amp;",*")+COUNTIF(E11:F11,O21)+COUNTIF(E11:F11,"*,"&amp;O21&amp;",*")+COUNTIF(H11:I11,O21)+COUNTIF(H11:I11,"*,"&amp;O21&amp;",*")+COUNTIF(K11:L11,O21)+COUNTIF(K11:L11,"*,"&amp;O21&amp;",*")+COUNTIF(N11:O11,O21)+COUNTIF(N11:O11,"*,"&amp;O21&amp;",*")+COUNTIF(B13:C13,O21)+COUNTIF(B13:C13,"*,"&amp;O21&amp;",*")+COUNTIF(E13:F13,O21)+COUNTIF(E13:F13,"*,"&amp;O21&amp;",*")+COUNTIF(H13:I13,O21)+COUNTIF(H13:I13,"*,"&amp;O21&amp;",*")+COUNTIF(K13:L13,O21)+COUNTIF(K13:L13,"*,"&amp;O21&amp;",*")+COUNTIF(N13:O13,O21)+COUNTIF(N13:O13,"*,"&amp;O21&amp;",*")+COUNTIF(B15:C15,O21)+COUNTIF(B15:C15,"*,"&amp;O21&amp;",*")+COUNTIF(E15:F15,O21)+COUNTIF(E15:F15,"*,"&amp;O21&amp;",*")+COUNTIF(H15:I15,O21)+COUNTIF(H15:I15,"*,"&amp;O21&amp;",*")+COUNTIF(K15:L15,O21)+COUNTIF(K15:L15,"*,"&amp;O21&amp;",*")+COUNTIF(N15:O15,O21)+COUNTIF(N15:O15,"*,"&amp;O21&amp;",*")+COUNTIF(B17:C17,O21)+COUNTIF(B17:C17,"*,"&amp;O21&amp;",*")+COUNTIF(E17:F17,O21)+COUNTIF(E17:F17,"*,"&amp;O21&amp;",*")+COUNTIF(H17:I17,O21)+COUNTIF(H17:I17,"*,"&amp;O21&amp;",*")+COUNTIF(K17:L17,O21)+COUNTIF(K17:L17,"*,"&amp;O21&amp;",*")+COUNTIF(N17:O17,O21)+COUNTIF(N17:O17,"*,"&amp;O21&amp;",*"))</f>
        <v/>
      </c>
      <c r="P24" s="22">
        <f>IF(SUM(B24:O24)=0,"",SUM(B24:O24))</f>
        <v/>
      </c>
    </row>
    <row r="25" spans="1:16" ht="13.5" customHeight="1" x14ac:dyDescent="0.2">
      <c r="A25" s="23" t="s">
        <v>52</v>
      </c>
      <c r="B25" s="26"/>
      <c r="C25" s="26"/>
      <c r="D25" s="26"/>
      <c r="E25" s="26"/>
      <c r="F25" s="26"/>
      <c r="G25" s="26"/>
      <c r="H25" s="26"/>
      <c r="I25" s="26"/>
      <c r="J25" s="26"/>
      <c r="K25" s="26"/>
      <c r="L25" s="26"/>
      <c r="M25" s="26"/>
      <c r="N25" s="26"/>
      <c r="O25" s="24"/>
      <c r="P25" s="18">
        <f>IF(SUM(B25:O25)=0,"",SUM(B25:O25))</f>
        <v/>
      </c>
    </row>
  </sheetData>
  <sheetProtection sheet="1" objects="1" scenarios="1"/>
  <mergeCells count="104">
    <mergeCell ref="N19:P19"/>
    <mergeCell ref="A23:A24"/>
    <mergeCell ref="N17:O17"/>
    <mergeCell ref="B18:D18"/>
    <mergeCell ref="E18:G18"/>
    <mergeCell ref="H18:J18"/>
    <mergeCell ref="K18:M18"/>
    <mergeCell ref="N18:P18"/>
    <mergeCell ref="A17:A18"/>
    <mergeCell ref="B17:C17"/>
    <mergeCell ref="E17:F17"/>
    <mergeCell ref="H17:I17"/>
    <mergeCell ref="K17:L17"/>
    <mergeCell ref="B19:D19"/>
    <mergeCell ref="E19:G19"/>
    <mergeCell ref="H19:J19"/>
    <mergeCell ref="K19:M19"/>
    <mergeCell ref="A15:A16"/>
    <mergeCell ref="B15:C15"/>
    <mergeCell ref="E15:F15"/>
    <mergeCell ref="H15:I15"/>
    <mergeCell ref="K15:L15"/>
    <mergeCell ref="N15:O15"/>
    <mergeCell ref="B16:D16"/>
    <mergeCell ref="E16:G16"/>
    <mergeCell ref="H16:J16"/>
    <mergeCell ref="K16:M16"/>
    <mergeCell ref="N16:P16"/>
    <mergeCell ref="A13:A14"/>
    <mergeCell ref="B13:C13"/>
    <mergeCell ref="E13:F13"/>
    <mergeCell ref="H13:I13"/>
    <mergeCell ref="K13:L13"/>
    <mergeCell ref="N13:O13"/>
    <mergeCell ref="B14:D14"/>
    <mergeCell ref="E14:G14"/>
    <mergeCell ref="H14:J14"/>
    <mergeCell ref="K14:M14"/>
    <mergeCell ref="N14:P14"/>
    <mergeCell ref="A11:A12"/>
    <mergeCell ref="B11:C11"/>
    <mergeCell ref="E11:F11"/>
    <mergeCell ref="H11:I11"/>
    <mergeCell ref="K11:L11"/>
    <mergeCell ref="N11:O11"/>
    <mergeCell ref="B12:D12"/>
    <mergeCell ref="E12:G12"/>
    <mergeCell ref="H12:J12"/>
    <mergeCell ref="K12:M12"/>
    <mergeCell ref="N12:P12"/>
    <mergeCell ref="N8:P8"/>
    <mergeCell ref="A9:A10"/>
    <mergeCell ref="B9:C9"/>
    <mergeCell ref="E9:F9"/>
    <mergeCell ref="H9:I9"/>
    <mergeCell ref="K9:L9"/>
    <mergeCell ref="N9:O9"/>
    <mergeCell ref="B10:D10"/>
    <mergeCell ref="E10:G10"/>
    <mergeCell ref="H10:J10"/>
    <mergeCell ref="A7:A8"/>
    <mergeCell ref="B7:C7"/>
    <mergeCell ref="E7:F7"/>
    <mergeCell ref="H7:I7"/>
    <mergeCell ref="K7:L7"/>
    <mergeCell ref="N7:O7"/>
    <mergeCell ref="B8:D8"/>
    <mergeCell ref="E8:G8"/>
    <mergeCell ref="H8:J8"/>
    <mergeCell ref="K8:M8"/>
    <mergeCell ref="K10:M10"/>
    <mergeCell ref="N10:P10"/>
    <mergeCell ref="A5:A6"/>
    <mergeCell ref="B5:C5"/>
    <mergeCell ref="E5:F5"/>
    <mergeCell ref="H5:I5"/>
    <mergeCell ref="K5:L5"/>
    <mergeCell ref="N2:P2"/>
    <mergeCell ref="B3:D3"/>
    <mergeCell ref="E3:G3"/>
    <mergeCell ref="H3:J3"/>
    <mergeCell ref="K3:M3"/>
    <mergeCell ref="N3:P3"/>
    <mergeCell ref="N5:O5"/>
    <mergeCell ref="B6:D6"/>
    <mergeCell ref="E6:G6"/>
    <mergeCell ref="H6:J6"/>
    <mergeCell ref="K6:M6"/>
    <mergeCell ref="N6:P6"/>
    <mergeCell ref="B4:D4"/>
    <mergeCell ref="E4:G4"/>
    <mergeCell ref="H4:J4"/>
    <mergeCell ref="K4:M4"/>
    <mergeCell ref="N4:P4"/>
    <mergeCell ref="A1:G1"/>
    <mergeCell ref="I1:J1"/>
    <mergeCell ref="K1:L1"/>
    <mergeCell ref="M1:N1"/>
    <mergeCell ref="O1:P1"/>
    <mergeCell ref="A2:A3"/>
    <mergeCell ref="B2:D2"/>
    <mergeCell ref="E2:G2"/>
    <mergeCell ref="H2:J2"/>
    <mergeCell ref="K2:M2"/>
  </mergeCells>
  <phoneticPr fontId="5"/>
  <dataValidations count="1">
    <dataValidation type="list" allowBlank="1" showInputMessage="1" sqref="D5 P17 M17 J17 G17 D17 P15 M15 J15 G15 D15 P13 M13 J13 G13 D13 P11 M11 J11 G11 D11 P9 M9 J9 G9 D9 P7 M7 J7 G7 D7 P5 M5 J5 G5" xr:uid="{095A8815-FB00-4369-8541-A10769B3CEA8}">
      <formula1>"×,月1,月2,月3,月4,月5,月6,月7,火1,火2,火3,火4,火5,火6,火7,水1,水2,水3,水4,水5,水6,水7,木1,木2,木3,木4,木5,木6,木7,金1,金2,金3,金4,金5,金6,金7"</formula1>
    </dataValidation>
  </dataValidations>
  <printOptions horizontalCentered="1"/>
  <pageMargins left="0.78740157480314965" right="0.78740157480314965" top="0.78740157480314965" bottom="0.78740157480314965" header="0" footer="0"/>
  <pageSetup paperSize="9" scale="93"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tn_0">
              <controlPr defaultSize="0" print="0" autoFill="0" autoPict="0" macro="[0]!ボタン_新しい週">
                <anchor moveWithCells="1" sizeWithCells="1">
                  <from>
                    <xdr:col>17</xdr:col>
                    <xdr:colOff>60960</xdr:colOff>
                    <xdr:row>3</xdr:row>
                    <xdr:rowOff>30480</xdr:rowOff>
                  </from>
                  <to>
                    <xdr:col>18</xdr:col>
                    <xdr:colOff>533400</xdr:colOff>
                    <xdr:row>3</xdr:row>
                    <xdr:rowOff>335280</xdr:rowOff>
                  </to>
                </anchor>
              </controlPr>
            </control>
          </mc:Choice>
        </mc:AlternateContent>
        <mc:AlternateContent xmlns:mc="http://schemas.openxmlformats.org/markup-compatibility/2006">
          <mc:Choice Requires="x14">
            <control shapeId="32770" r:id="rId5" name="Btn_1">
              <controlPr defaultSize="0" print="0" autoFill="0" autoPict="0" macro="[0]!ボタン_時間割展開">
                <anchor moveWithCells="1" sizeWithCells="1">
                  <from>
                    <xdr:col>17</xdr:col>
                    <xdr:colOff>60960</xdr:colOff>
                    <xdr:row>3</xdr:row>
                    <xdr:rowOff>441960</xdr:rowOff>
                  </from>
                  <to>
                    <xdr:col>18</xdr:col>
                    <xdr:colOff>533400</xdr:colOff>
                    <xdr:row>4</xdr:row>
                    <xdr:rowOff>45720</xdr:rowOff>
                  </to>
                </anchor>
              </controlPr>
            </control>
          </mc:Choice>
        </mc:AlternateContent>
        <mc:AlternateContent xmlns:mc="http://schemas.openxmlformats.org/markup-compatibility/2006">
          <mc:Choice Requires="x14">
            <control shapeId="32771" r:id="rId6" name="Btn_2">
              <controlPr defaultSize="0" print="0" autoFill="0" autoPict="0" macro="[0]!ボタン_累計更新">
                <anchor moveWithCells="1" sizeWithCells="1">
                  <from>
                    <xdr:col>17</xdr:col>
                    <xdr:colOff>60960</xdr:colOff>
                    <xdr:row>4</xdr:row>
                    <xdr:rowOff>144780</xdr:rowOff>
                  </from>
                  <to>
                    <xdr:col>18</xdr:col>
                    <xdr:colOff>533400</xdr:colOff>
                    <xdr:row>5</xdr:row>
                    <xdr:rowOff>220980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xr:uid="{BBDB5B43-0066-4D55-811F-6F78703C74BE}">
          <x14:formula1>
            <xm:f>基本設定!$B$6:$B$20</xm:f>
          </x14:formula1>
          <xm:sqref>B5 N19 K19 H19 E19 B19 N17 K17 H17 E17 B17 N15 K15 H15 E15 B15 N13 K13 H13 E13 B13 N11 K11 H11 E11 B11 N9 K9 H9 E9 B9 N7 K7 H7 E7 B7 N5 K5 H5 E5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072AB7-7EA3-4B85-B282-2F572D747541}">
  <sheetPr codeName="Sheet17">
    <tabColor rgb="FFC0392B"/>
    <pageSetUpPr fitToPage="1"/>
  </sheetPr>
  <dimension ref="A1:P25"/>
  <sheetViews>
    <sheetView topLeftCell="A12" workbookViewId="0">
      <selection activeCell="G13" sqref="G13"/>
    </sheetView>
  </sheetViews>
  <sheetFormatPr defaultColWidth="8.77734375" defaultRowHeight="13.2" x14ac:dyDescent="0.2"/>
  <cols>
    <col min="1" max="1" width="5.44140625" customWidth="1"/>
    <col min="2" max="16" width="5.77734375" customWidth="1"/>
  </cols>
  <sheetData>
    <row r="1" spans="1:16" ht="50.1" customHeight="1" x14ac:dyDescent="0.2">
      <c r="A1" s="51" t="s">
        <v>34</v>
      </c>
      <c r="B1" s="52"/>
      <c r="C1" s="52"/>
      <c r="D1" s="52"/>
      <c r="E1" s="52"/>
      <c r="F1" s="52"/>
      <c r="G1" s="52"/>
      <c r="H1" s="8" t="s">
        <v>35</v>
      </c>
      <c r="I1" s="53" t="s">
        <v>36</v>
      </c>
      <c r="J1" s="54"/>
      <c r="K1" s="53" t="s">
        <v>37</v>
      </c>
      <c r="L1" s="54"/>
      <c r="M1" s="53" t="s">
        <v>38</v>
      </c>
      <c r="N1" s="54"/>
      <c r="O1" s="53" t="s">
        <v>39</v>
      </c>
      <c r="P1" s="54"/>
    </row>
    <row r="2" spans="1:16" ht="15.6" customHeight="1" x14ac:dyDescent="0.2">
      <c r="A2" s="55" t="s">
        <v>40</v>
      </c>
      <c r="B2" s="57" t="s">
        <v>29</v>
      </c>
      <c r="C2" s="57"/>
      <c r="D2" s="57"/>
      <c r="E2" s="59" t="s">
        <v>30</v>
      </c>
      <c r="F2" s="59"/>
      <c r="G2" s="59"/>
      <c r="H2" s="45" t="s">
        <v>31</v>
      </c>
      <c r="I2" s="45"/>
      <c r="J2" s="45"/>
      <c r="K2" s="47" t="s">
        <v>32</v>
      </c>
      <c r="L2" s="47"/>
      <c r="M2" s="47"/>
      <c r="N2" s="49" t="s">
        <v>33</v>
      </c>
      <c r="O2" s="49"/>
      <c r="P2" s="49"/>
    </row>
    <row r="3" spans="1:16" ht="15" customHeight="1" x14ac:dyDescent="0.2">
      <c r="A3" s="56"/>
      <c r="B3" s="58" t="s">
        <v>41</v>
      </c>
      <c r="C3" s="58"/>
      <c r="D3" s="58"/>
      <c r="E3" s="60" t="s">
        <v>42</v>
      </c>
      <c r="F3" s="60"/>
      <c r="G3" s="60"/>
      <c r="H3" s="46" t="s">
        <v>43</v>
      </c>
      <c r="I3" s="46"/>
      <c r="J3" s="46"/>
      <c r="K3" s="48" t="s">
        <v>44</v>
      </c>
      <c r="L3" s="48"/>
      <c r="M3" s="48"/>
      <c r="N3" s="50" t="s">
        <v>45</v>
      </c>
      <c r="O3" s="50"/>
      <c r="P3" s="50"/>
    </row>
    <row r="4" spans="1:16" ht="54.9" customHeight="1" x14ac:dyDescent="0.2">
      <c r="A4" s="9" t="s">
        <v>46</v>
      </c>
      <c r="B4" s="40"/>
      <c r="C4" s="40"/>
      <c r="D4" s="40"/>
      <c r="E4" s="41"/>
      <c r="F4" s="41"/>
      <c r="G4" s="41"/>
      <c r="H4" s="42"/>
      <c r="I4" s="42"/>
      <c r="J4" s="42"/>
      <c r="K4" s="43"/>
      <c r="L4" s="43"/>
      <c r="M4" s="43"/>
      <c r="N4" s="44"/>
      <c r="O4" s="44"/>
      <c r="P4" s="44"/>
    </row>
    <row r="5" spans="1:16" ht="18" customHeight="1" x14ac:dyDescent="0.2">
      <c r="A5" s="39">
        <v>1</v>
      </c>
      <c r="B5" s="37"/>
      <c r="C5" s="37"/>
      <c r="D5" s="25"/>
      <c r="E5" s="37"/>
      <c r="F5" s="37"/>
      <c r="G5" s="25"/>
      <c r="H5" s="37"/>
      <c r="I5" s="37"/>
      <c r="J5" s="25"/>
      <c r="K5" s="37"/>
      <c r="L5" s="37"/>
      <c r="M5" s="25"/>
      <c r="N5" s="37"/>
      <c r="O5" s="37"/>
      <c r="P5" s="25"/>
    </row>
    <row r="6" spans="1:16" ht="62.1" customHeight="1" x14ac:dyDescent="0.2">
      <c r="A6" s="39"/>
      <c r="B6" s="38"/>
      <c r="C6" s="38"/>
      <c r="D6" s="38"/>
      <c r="E6" s="38"/>
      <c r="F6" s="38"/>
      <c r="G6" s="38"/>
      <c r="H6" s="38"/>
      <c r="I6" s="38"/>
      <c r="J6" s="38"/>
      <c r="K6" s="38"/>
      <c r="L6" s="38"/>
      <c r="M6" s="38"/>
      <c r="N6" s="38"/>
      <c r="O6" s="38"/>
      <c r="P6" s="38"/>
    </row>
    <row r="7" spans="1:16" ht="18" customHeight="1" x14ac:dyDescent="0.2">
      <c r="A7" s="39">
        <v>2</v>
      </c>
      <c r="B7" s="37"/>
      <c r="C7" s="37"/>
      <c r="D7" s="25"/>
      <c r="E7" s="37"/>
      <c r="F7" s="37"/>
      <c r="G7" s="25"/>
      <c r="H7" s="37"/>
      <c r="I7" s="37"/>
      <c r="J7" s="25"/>
      <c r="K7" s="37"/>
      <c r="L7" s="37"/>
      <c r="M7" s="25"/>
      <c r="N7" s="37"/>
      <c r="O7" s="37"/>
      <c r="P7" s="25"/>
    </row>
    <row r="8" spans="1:16" ht="62.1" customHeight="1" x14ac:dyDescent="0.2">
      <c r="A8" s="39"/>
      <c r="B8" s="38"/>
      <c r="C8" s="38"/>
      <c r="D8" s="38"/>
      <c r="E8" s="38"/>
      <c r="F8" s="38"/>
      <c r="G8" s="38"/>
      <c r="H8" s="38"/>
      <c r="I8" s="38"/>
      <c r="J8" s="38"/>
      <c r="K8" s="38"/>
      <c r="L8" s="38"/>
      <c r="M8" s="38"/>
      <c r="N8" s="38"/>
      <c r="O8" s="38"/>
      <c r="P8" s="38"/>
    </row>
    <row r="9" spans="1:16" ht="18" customHeight="1" x14ac:dyDescent="0.2">
      <c r="A9" s="39">
        <v>3</v>
      </c>
      <c r="B9" s="37"/>
      <c r="C9" s="37"/>
      <c r="D9" s="25"/>
      <c r="E9" s="37"/>
      <c r="F9" s="37"/>
      <c r="G9" s="25"/>
      <c r="H9" s="37"/>
      <c r="I9" s="37"/>
      <c r="J9" s="25"/>
      <c r="K9" s="37"/>
      <c r="L9" s="37"/>
      <c r="M9" s="25"/>
      <c r="N9" s="37"/>
      <c r="O9" s="37"/>
      <c r="P9" s="25"/>
    </row>
    <row r="10" spans="1:16" ht="62.1" customHeight="1" x14ac:dyDescent="0.2">
      <c r="A10" s="39"/>
      <c r="B10" s="38"/>
      <c r="C10" s="38"/>
      <c r="D10" s="38"/>
      <c r="E10" s="38"/>
      <c r="F10" s="38"/>
      <c r="G10" s="38"/>
      <c r="H10" s="38"/>
      <c r="I10" s="38"/>
      <c r="J10" s="38"/>
      <c r="K10" s="38"/>
      <c r="L10" s="38"/>
      <c r="M10" s="38"/>
      <c r="N10" s="38"/>
      <c r="O10" s="38"/>
      <c r="P10" s="38"/>
    </row>
    <row r="11" spans="1:16" ht="18" customHeight="1" x14ac:dyDescent="0.2">
      <c r="A11" s="39">
        <v>4</v>
      </c>
      <c r="B11" s="37"/>
      <c r="C11" s="37"/>
      <c r="D11" s="25"/>
      <c r="E11" s="37"/>
      <c r="F11" s="37"/>
      <c r="G11" s="25"/>
      <c r="H11" s="37"/>
      <c r="I11" s="37"/>
      <c r="J11" s="25"/>
      <c r="K11" s="37"/>
      <c r="L11" s="37"/>
      <c r="M11" s="25"/>
      <c r="N11" s="37"/>
      <c r="O11" s="37"/>
      <c r="P11" s="25"/>
    </row>
    <row r="12" spans="1:16" ht="62.1" customHeight="1" x14ac:dyDescent="0.2">
      <c r="A12" s="39"/>
      <c r="B12" s="38"/>
      <c r="C12" s="38"/>
      <c r="D12" s="38"/>
      <c r="E12" s="38"/>
      <c r="F12" s="38"/>
      <c r="G12" s="38"/>
      <c r="H12" s="38"/>
      <c r="I12" s="38"/>
      <c r="J12" s="38"/>
      <c r="K12" s="38"/>
      <c r="L12" s="38"/>
      <c r="M12" s="38"/>
      <c r="N12" s="38"/>
      <c r="O12" s="38"/>
      <c r="P12" s="38"/>
    </row>
    <row r="13" spans="1:16" ht="18" customHeight="1" x14ac:dyDescent="0.2">
      <c r="A13" s="39">
        <v>5</v>
      </c>
      <c r="B13" s="37"/>
      <c r="C13" s="37"/>
      <c r="D13" s="25"/>
      <c r="E13" s="37"/>
      <c r="F13" s="37"/>
      <c r="G13" s="25"/>
      <c r="H13" s="37"/>
      <c r="I13" s="37"/>
      <c r="J13" s="25"/>
      <c r="K13" s="37"/>
      <c r="L13" s="37"/>
      <c r="M13" s="25"/>
      <c r="N13" s="37"/>
      <c r="O13" s="37"/>
      <c r="P13" s="25"/>
    </row>
    <row r="14" spans="1:16" ht="62.1" customHeight="1" x14ac:dyDescent="0.2">
      <c r="A14" s="39"/>
      <c r="B14" s="38"/>
      <c r="C14" s="38"/>
      <c r="D14" s="38"/>
      <c r="E14" s="38"/>
      <c r="F14" s="38"/>
      <c r="G14" s="38"/>
      <c r="H14" s="38"/>
      <c r="I14" s="38"/>
      <c r="J14" s="38"/>
      <c r="K14" s="38"/>
      <c r="L14" s="38"/>
      <c r="M14" s="38"/>
      <c r="N14" s="38"/>
      <c r="O14" s="38"/>
      <c r="P14" s="38"/>
    </row>
    <row r="15" spans="1:16" ht="18" customHeight="1" x14ac:dyDescent="0.2">
      <c r="A15" s="39">
        <v>6</v>
      </c>
      <c r="B15" s="37"/>
      <c r="C15" s="37"/>
      <c r="D15" s="25"/>
      <c r="E15" s="37"/>
      <c r="F15" s="37"/>
      <c r="G15" s="25"/>
      <c r="H15" s="37"/>
      <c r="I15" s="37"/>
      <c r="J15" s="25"/>
      <c r="K15" s="37"/>
      <c r="L15" s="37"/>
      <c r="M15" s="25"/>
      <c r="N15" s="37"/>
      <c r="O15" s="37"/>
      <c r="P15" s="25"/>
    </row>
    <row r="16" spans="1:16" ht="62.1" customHeight="1" x14ac:dyDescent="0.2">
      <c r="A16" s="39"/>
      <c r="B16" s="38"/>
      <c r="C16" s="38"/>
      <c r="D16" s="38"/>
      <c r="E16" s="38"/>
      <c r="F16" s="38"/>
      <c r="G16" s="38"/>
      <c r="H16" s="38"/>
      <c r="I16" s="38"/>
      <c r="J16" s="38"/>
      <c r="K16" s="38"/>
      <c r="L16" s="38"/>
      <c r="M16" s="38"/>
      <c r="N16" s="38"/>
      <c r="O16" s="38"/>
      <c r="P16" s="38"/>
    </row>
    <row r="17" spans="1:16" ht="18" customHeight="1" x14ac:dyDescent="0.2">
      <c r="A17" s="39">
        <v>7</v>
      </c>
      <c r="B17" s="37"/>
      <c r="C17" s="37"/>
      <c r="D17" s="25"/>
      <c r="E17" s="37"/>
      <c r="F17" s="37"/>
      <c r="G17" s="25"/>
      <c r="H17" s="37"/>
      <c r="I17" s="37"/>
      <c r="J17" s="25"/>
      <c r="K17" s="37"/>
      <c r="L17" s="37"/>
      <c r="M17" s="25"/>
      <c r="N17" s="37"/>
      <c r="O17" s="37"/>
      <c r="P17" s="25"/>
    </row>
    <row r="18" spans="1:16" ht="62.1" customHeight="1" x14ac:dyDescent="0.2">
      <c r="A18" s="39"/>
      <c r="B18" s="38"/>
      <c r="C18" s="38"/>
      <c r="D18" s="38"/>
      <c r="E18" s="38"/>
      <c r="F18" s="38"/>
      <c r="G18" s="38"/>
      <c r="H18" s="38"/>
      <c r="I18" s="38"/>
      <c r="J18" s="38"/>
      <c r="K18" s="38"/>
      <c r="L18" s="38"/>
      <c r="M18" s="38"/>
      <c r="N18" s="38"/>
      <c r="O18" s="38"/>
      <c r="P18" s="38"/>
    </row>
    <row r="19" spans="1:16" ht="54.9" customHeight="1" x14ac:dyDescent="0.2">
      <c r="A19" s="10" t="s">
        <v>47</v>
      </c>
      <c r="B19" s="34"/>
      <c r="C19" s="34"/>
      <c r="D19" s="34"/>
      <c r="E19" s="34"/>
      <c r="F19" s="34"/>
      <c r="G19" s="34"/>
      <c r="H19" s="34"/>
      <c r="I19" s="34"/>
      <c r="J19" s="34"/>
      <c r="K19" s="34"/>
      <c r="L19" s="34"/>
      <c r="M19" s="34"/>
      <c r="N19" s="34"/>
      <c r="O19" s="34"/>
      <c r="P19" s="34"/>
    </row>
    <row r="20" spans="1:16" hidden="1" x14ac:dyDescent="0.2">
      <c r="A20" s="11"/>
      <c r="B20" s="11"/>
      <c r="C20" s="11"/>
      <c r="D20" s="11"/>
      <c r="E20" s="11"/>
      <c r="F20" s="11"/>
      <c r="G20" s="11"/>
      <c r="H20" s="11"/>
      <c r="I20" s="11"/>
      <c r="J20" s="11"/>
      <c r="K20" s="11"/>
      <c r="L20" s="11"/>
      <c r="M20" s="11"/>
      <c r="N20" s="11"/>
      <c r="O20" s="11"/>
      <c r="P20" s="11"/>
    </row>
    <row r="21" spans="1:16" ht="13.5" customHeight="1" x14ac:dyDescent="0.2">
      <c r="A21" s="12" t="s">
        <v>48</v>
      </c>
      <c r="B21" s="12">
        <f>IF(基本設定!B6="","",基本設定!B6)</f>
      </c>
      <c r="C21" s="12">
        <f>IF(基本設定!B7="","",基本設定!B7)</f>
      </c>
      <c r="D21" s="12">
        <f>IF(基本設定!B8="","",基本設定!B8)</f>
      </c>
      <c r="E21" s="12">
        <f>IF(基本設定!B9="","",基本設定!B9)</f>
      </c>
      <c r="F21" s="12">
        <f>IF(基本設定!B10="","",基本設定!B10)</f>
      </c>
      <c r="G21" s="12">
        <f>IF(基本設定!B11="","",基本設定!B11)</f>
      </c>
      <c r="H21" s="12"/>
      <c r="I21" s="12"/>
      <c r="J21" s="12"/>
      <c r="K21" s="12"/>
      <c r="L21" s="12"/>
      <c r="M21" s="13" t="s">
        <v>53</v>
      </c>
      <c r="N21" s="12" t="s">
        <v>20</v>
      </c>
      <c r="O21" s="12" t="s">
        <v>22</v>
      </c>
      <c r="P21" s="14" t="s">
        <v>49</v>
      </c>
    </row>
    <row r="22" spans="1:16" ht="13.5" customHeight="1" x14ac:dyDescent="0.2">
      <c r="A22" s="15" t="s">
        <v>50</v>
      </c>
      <c r="B22" s="16">
        <f>IF(B21="","",IFERROR(VALUE(VLOOKUP(B21,基本設定!$A$23:$B$35,2,FALSE())),""))</f>
      </c>
      <c r="C22" s="16">
        <f>IF(C21="","",IFERROR(VALUE(VLOOKUP(C21,基本設定!$A$23:$B$35,2,FALSE())),""))</f>
      </c>
      <c r="D22" s="16">
        <f>IF(D21="","",IFERROR(VALUE(VLOOKUP(D21,基本設定!$A$23:$B$35,2,FALSE())),""))</f>
      </c>
      <c r="E22" s="16">
        <f>IF(E21="","",IFERROR(VALUE(VLOOKUP(E21,基本設定!$A$23:$B$35,2,FALSE())),""))</f>
      </c>
      <c r="F22" s="16">
        <f>IF(F21="","",IFERROR(VALUE(VLOOKUP(F21,基本設定!$A$23:$B$35,2,FALSE())),""))</f>
      </c>
      <c r="G22" s="16">
        <f>IF(G21="","",IFERROR(VALUE(VLOOKUP(G21,基本設定!$A$23:$B$35,2,FALSE())),""))</f>
      </c>
      <c r="H22" s="17"/>
      <c r="I22" s="17"/>
      <c r="J22" s="17"/>
      <c r="K22" s="17"/>
      <c r="L22" s="17"/>
      <c r="M22" s="17">
        <v>1</v>
      </c>
      <c r="N22" s="17">
        <f>IF(N21="","",IFERROR(VALUE(VLOOKUP(N21,基本設定!$A$23:$B$35,2,FALSE())),""))</f>
      </c>
      <c r="O22" s="17">
        <f>IF(O21="","",IFERROR(VALUE(VLOOKUP(O21,基本設定!$A$23:$B$35,2,FALSE())),""))</f>
      </c>
      <c r="P22" s="18">
        <f>IF(SUM(B22:O22)=0,"",SUM(B22:O22))</f>
      </c>
    </row>
    <row r="23" spans="1:16" ht="13.5" customHeight="1" x14ac:dyDescent="0.2">
      <c r="A23" s="35" t="s">
        <v>51</v>
      </c>
      <c r="B23" s="19">
        <f>IF(B21="","",IF(B24="","",B24-(SUMPRODUCT((B5:C5=B21)*(D5="×"))+SUMPRODUCT((E5:F5=B21)*(G5="×"))+SUMPRODUCT((H5:I5=B21)*(J5="×"))+SUMPRODUCT((K5:L5=B21)*(M5="×"))+SUMPRODUCT((N5:O5=B21)*(P5="×"))+SUMPRODUCT((B7:C7=B21)*(D7="×"))+SUMPRODUCT((E7:F7=B21)*(G7="×"))+SUMPRODUCT((H7:I7=B21)*(J7="×"))+SUMPRODUCT((K7:L7=B21)*(M7="×"))+SUMPRODUCT((N7:O7=B21)*(P7="×"))+SUMPRODUCT((B9:C9=B21)*(D9="×"))+SUMPRODUCT((E9:F9=B21)*(G9="×"))+SUMPRODUCT((H9:I9=B21)*(J9="×"))+SUMPRODUCT((K9:L9=B21)*(M9="×"))+SUMPRODUCT((N9:O9=B21)*(P9="×"))+SUMPRODUCT((B11:C11=B21)*(D11="×"))+SUMPRODUCT((E11:F11=B21)*(G11="×"))+SUMPRODUCT((H11:I11=B21)*(J11="×"))+SUMPRODUCT((K11:L11=B21)*(M11="×"))+SUMPRODUCT((N11:O11=B21)*(P11="×"))+SUMPRODUCT((B13:C13=B21)*(D13="×"))+SUMPRODUCT((E13:F13=B21)*(G13="×"))+SUMPRODUCT((H13:I13=B21)*(J13="×"))+SUMPRODUCT((K13:L13=B21)*(M13="×"))+SUMPRODUCT((N13:O13=B21)*(P13="×"))+SUMPRODUCT((B15:C15=B21)*(D15="×"))+SUMPRODUCT((E15:F15=B21)*(G15="×"))+SUMPRODUCT((H15:I15=B21)*(J15="×"))+SUMPRODUCT((K15:L15=B21)*(M15="×"))+SUMPRODUCT((N15:O15=B21)*(P15="×"))+SUMPRODUCT((B17:C17=B21)*(D17="×"))+SUMPRODUCT((E17:F17=B21)*(G17="×"))+SUMPRODUCT((H17:I17=B21)*(J17="×"))+SUMPRODUCT((K17:L17=B21)*(M17="×"))+SUMPRODUCT((N17:O17=B21)*(P17="×")))))</f>
        <v/>
      </c>
      <c r="C23" s="19">
        <f>IF(C21="","",IF(C24="","",C24-(SUMPRODUCT((B5:C5=C21)*(D5="×"))+SUMPRODUCT((E5:F5=C21)*(G5="×"))+SUMPRODUCT((H5:I5=C21)*(J5="×"))+SUMPRODUCT((K5:L5=C21)*(M5="×"))+SUMPRODUCT((N5:O5=C21)*(P5="×"))+SUMPRODUCT((B7:C7=C21)*(D7="×"))+SUMPRODUCT((E7:F7=C21)*(G7="×"))+SUMPRODUCT((H7:I7=C21)*(J7="×"))+SUMPRODUCT((K7:L7=C21)*(M7="×"))+SUMPRODUCT((N7:O7=C21)*(P7="×"))+SUMPRODUCT((B9:C9=C21)*(D9="×"))+SUMPRODUCT((E9:F9=C21)*(G9="×"))+SUMPRODUCT((H9:I9=C21)*(J9="×"))+SUMPRODUCT((K9:L9=C21)*(M9="×"))+SUMPRODUCT((N9:O9=C21)*(P9="×"))+SUMPRODUCT((B11:C11=C21)*(D11="×"))+SUMPRODUCT((E11:F11=C21)*(G11="×"))+SUMPRODUCT((H11:I11=C21)*(J11="×"))+SUMPRODUCT((K11:L11=C21)*(M11="×"))+SUMPRODUCT((N11:O11=C21)*(P11="×"))+SUMPRODUCT((B13:C13=C21)*(D13="×"))+SUMPRODUCT((E13:F13=C21)*(G13="×"))+SUMPRODUCT((H13:I13=C21)*(J13="×"))+SUMPRODUCT((K13:L13=C21)*(M13="×"))+SUMPRODUCT((N13:O13=C21)*(P13="×"))+SUMPRODUCT((B15:C15=C21)*(D15="×"))+SUMPRODUCT((E15:F15=C21)*(G15="×"))+SUMPRODUCT((H15:I15=C21)*(J15="×"))+SUMPRODUCT((K15:L15=C21)*(M15="×"))+SUMPRODUCT((N15:O15=C21)*(P15="×"))+SUMPRODUCT((B17:C17=C21)*(D17="×"))+SUMPRODUCT((E17:F17=C21)*(G17="×"))+SUMPRODUCT((H17:I17=C21)*(J17="×"))+SUMPRODUCT((K17:L17=C21)*(M17="×"))+SUMPRODUCT((N17:O17=C21)*(P17="×")))))</f>
        <v/>
      </c>
      <c r="D23" s="19">
        <f>IF(D21="","",IF(D24="","",D24-(SUMPRODUCT((B5:C5=D21)*(D5="×"))+SUMPRODUCT((E5:F5=D21)*(G5="×"))+SUMPRODUCT((H5:I5=D21)*(J5="×"))+SUMPRODUCT((K5:L5=D21)*(M5="×"))+SUMPRODUCT((N5:O5=D21)*(P5="×"))+SUMPRODUCT((B7:C7=D21)*(D7="×"))+SUMPRODUCT((E7:F7=D21)*(G7="×"))+SUMPRODUCT((H7:I7=D21)*(J7="×"))+SUMPRODUCT((K7:L7=D21)*(M7="×"))+SUMPRODUCT((N7:O7=D21)*(P7="×"))+SUMPRODUCT((B9:C9=D21)*(D9="×"))+SUMPRODUCT((E9:F9=D21)*(G9="×"))+SUMPRODUCT((H9:I9=D21)*(J9="×"))+SUMPRODUCT((K9:L9=D21)*(M9="×"))+SUMPRODUCT((N9:O9=D21)*(P9="×"))+SUMPRODUCT((B11:C11=D21)*(D11="×"))+SUMPRODUCT((E11:F11=D21)*(G11="×"))+SUMPRODUCT((H11:I11=D21)*(J11="×"))+SUMPRODUCT((K11:L11=D21)*(M11="×"))+SUMPRODUCT((N11:O11=D21)*(P11="×"))+SUMPRODUCT((B13:C13=D21)*(D13="×"))+SUMPRODUCT((E13:F13=D21)*(G13="×"))+SUMPRODUCT((H13:I13=D21)*(J13="×"))+SUMPRODUCT((K13:L13=D21)*(M13="×"))+SUMPRODUCT((N13:O13=D21)*(P13="×"))+SUMPRODUCT((B15:C15=D21)*(D15="×"))+SUMPRODUCT((E15:F15=D21)*(G15="×"))+SUMPRODUCT((H15:I15=D21)*(J15="×"))+SUMPRODUCT((K15:L15=D21)*(M15="×"))+SUMPRODUCT((N15:O15=D21)*(P15="×"))+SUMPRODUCT((B17:C17=D21)*(D17="×"))+SUMPRODUCT((E17:F17=D21)*(G17="×"))+SUMPRODUCT((H17:I17=D21)*(J17="×"))+SUMPRODUCT((K17:L17=D21)*(M17="×"))+SUMPRODUCT((N17:O17=D21)*(P17="×")))))</f>
        <v/>
      </c>
      <c r="E23" s="19">
        <f>IF(E21="","",IF(E24="","",E24-(SUMPRODUCT((B5:C5=E21)*(D5="×"))+SUMPRODUCT((E5:F5=E21)*(G5="×"))+SUMPRODUCT((H5:I5=E21)*(J5="×"))+SUMPRODUCT((K5:L5=E21)*(M5="×"))+SUMPRODUCT((N5:O5=E21)*(P5="×"))+SUMPRODUCT((B7:C7=E21)*(D7="×"))+SUMPRODUCT((E7:F7=E21)*(G7="×"))+SUMPRODUCT((H7:I7=E21)*(J7="×"))+SUMPRODUCT((K7:L7=E21)*(M7="×"))+SUMPRODUCT((N7:O7=E21)*(P7="×"))+SUMPRODUCT((B9:C9=E21)*(D9="×"))+SUMPRODUCT((E9:F9=E21)*(G9="×"))+SUMPRODUCT((H9:I9=E21)*(J9="×"))+SUMPRODUCT((K9:L9=E21)*(M9="×"))+SUMPRODUCT((N9:O9=E21)*(P9="×"))+SUMPRODUCT((B11:C11=E21)*(D11="×"))+SUMPRODUCT((E11:F11=E21)*(G11="×"))+SUMPRODUCT((H11:I11=E21)*(J11="×"))+SUMPRODUCT((K11:L11=E21)*(M11="×"))+SUMPRODUCT((N11:O11=E21)*(P11="×"))+SUMPRODUCT((B13:C13=E21)*(D13="×"))+SUMPRODUCT((E13:F13=E21)*(G13="×"))+SUMPRODUCT((H13:I13=E21)*(J13="×"))+SUMPRODUCT((K13:L13=E21)*(M13="×"))+SUMPRODUCT((N13:O13=E21)*(P13="×"))+SUMPRODUCT((B15:C15=E21)*(D15="×"))+SUMPRODUCT((E15:F15=E21)*(G15="×"))+SUMPRODUCT((H15:I15=E21)*(J15="×"))+SUMPRODUCT((K15:L15=E21)*(M15="×"))+SUMPRODUCT((N15:O15=E21)*(P15="×"))+SUMPRODUCT((B17:C17=E21)*(D17="×"))+SUMPRODUCT((E17:F17=E21)*(G17="×"))+SUMPRODUCT((H17:I17=E21)*(J17="×"))+SUMPRODUCT((K17:L17=E21)*(M17="×"))+SUMPRODUCT((N17:O17=E21)*(P17="×")))))</f>
        <v/>
      </c>
      <c r="F23" s="19">
        <f>IF(F21="","",IF(F24="","",F24-(SUMPRODUCT((B5:C5=F21)*(D5="×"))+SUMPRODUCT((E5:F5=F21)*(G5="×"))+SUMPRODUCT((H5:I5=F21)*(J5="×"))+SUMPRODUCT((K5:L5=F21)*(M5="×"))+SUMPRODUCT((N5:O5=F21)*(P5="×"))+SUMPRODUCT((B7:C7=F21)*(D7="×"))+SUMPRODUCT((E7:F7=F21)*(G7="×"))+SUMPRODUCT((H7:I7=F21)*(J7="×"))+SUMPRODUCT((K7:L7=F21)*(M7="×"))+SUMPRODUCT((N7:O7=F21)*(P7="×"))+SUMPRODUCT((B9:C9=F21)*(D9="×"))+SUMPRODUCT((E9:F9=F21)*(G9="×"))+SUMPRODUCT((H9:I9=F21)*(J9="×"))+SUMPRODUCT((K9:L9=F21)*(M9="×"))+SUMPRODUCT((N9:O9=F21)*(P9="×"))+SUMPRODUCT((B11:C11=F21)*(D11="×"))+SUMPRODUCT((E11:F11=F21)*(G11="×"))+SUMPRODUCT((H11:I11=F21)*(J11="×"))+SUMPRODUCT((K11:L11=F21)*(M11="×"))+SUMPRODUCT((N11:O11=F21)*(P11="×"))+SUMPRODUCT((B13:C13=F21)*(D13="×"))+SUMPRODUCT((E13:F13=F21)*(G13="×"))+SUMPRODUCT((H13:I13=F21)*(J13="×"))+SUMPRODUCT((K13:L13=F21)*(M13="×"))+SUMPRODUCT((N13:O13=F21)*(P13="×"))+SUMPRODUCT((B15:C15=F21)*(D15="×"))+SUMPRODUCT((E15:F15=F21)*(G15="×"))+SUMPRODUCT((H15:I15=F21)*(J15="×"))+SUMPRODUCT((K15:L15=F21)*(M15="×"))+SUMPRODUCT((N15:O15=F21)*(P15="×"))+SUMPRODUCT((B17:C17=F21)*(D17="×"))+SUMPRODUCT((E17:F17=F21)*(G17="×"))+SUMPRODUCT((H17:I17=F21)*(J17="×"))+SUMPRODUCT((K17:L17=F21)*(M17="×"))+SUMPRODUCT((N17:O17=F21)*(P17="×")))))</f>
        <v/>
      </c>
      <c r="G23" s="19">
        <f>IF(G21="","",IF(G24="","",G24-(SUMPRODUCT((B5:C5=G21)*(D5="×"))+SUMPRODUCT((E5:F5=G21)*(G5="×"))+SUMPRODUCT((H5:I5=G21)*(J5="×"))+SUMPRODUCT((K5:L5=G21)*(M5="×"))+SUMPRODUCT((N5:O5=G21)*(P5="×"))+SUMPRODUCT((B7:C7=G21)*(D7="×"))+SUMPRODUCT((E7:F7=G21)*(G7="×"))+SUMPRODUCT((H7:I7=G21)*(J7="×"))+SUMPRODUCT((K7:L7=G21)*(M7="×"))+SUMPRODUCT((N7:O7=G21)*(P7="×"))+SUMPRODUCT((B9:C9=G21)*(D9="×"))+SUMPRODUCT((E9:F9=G21)*(G9="×"))+SUMPRODUCT((H9:I9=G21)*(J9="×"))+SUMPRODUCT((K9:L9=G21)*(M9="×"))+SUMPRODUCT((N9:O9=G21)*(P9="×"))+SUMPRODUCT((B11:C11=G21)*(D11="×"))+SUMPRODUCT((E11:F11=G21)*(G11="×"))+SUMPRODUCT((H11:I11=G21)*(J11="×"))+SUMPRODUCT((K11:L11=G21)*(M11="×"))+SUMPRODUCT((N11:O11=G21)*(P11="×"))+SUMPRODUCT((B13:C13=G21)*(D13="×"))+SUMPRODUCT((E13:F13=G21)*(G13="×"))+SUMPRODUCT((H13:I13=G21)*(J13="×"))+SUMPRODUCT((K13:L13=G21)*(M13="×"))+SUMPRODUCT((N13:O13=G21)*(P13="×"))+SUMPRODUCT((B15:C15=G21)*(D15="×"))+SUMPRODUCT((E15:F15=G21)*(G15="×"))+SUMPRODUCT((H15:I15=G21)*(J15="×"))+SUMPRODUCT((K15:L15=G21)*(M15="×"))+SUMPRODUCT((N15:O15=G21)*(P15="×"))+SUMPRODUCT((B17:C17=G21)*(D17="×"))+SUMPRODUCT((E17:F17=G21)*(G17="×"))+SUMPRODUCT((H17:I17=G21)*(J17="×"))+SUMPRODUCT((K17:L17=G21)*(M17="×"))+SUMPRODUCT((N17:O17=G21)*(P17="×")))))</f>
        <v/>
      </c>
      <c r="H23" s="19"/>
      <c r="I23" s="19"/>
      <c r="J23" s="19"/>
      <c r="K23" s="19"/>
      <c r="L23" s="19"/>
      <c r="M23" s="19">
        <f>IF(M24="","",M24-(SUMPRODUCT((B5:C5="特活")*(D5="×"))+SUMPRODUCT((B5:C5="学活")*(D5="×"))+SUMPRODUCT((E5:F5="特活")*(G5="×"))+SUMPRODUCT((E5:F5="学活")*(G5="×"))+SUMPRODUCT((H5:I5="特活")*(J5="×"))+SUMPRODUCT((H5:I5="学活")*(J5="×"))+SUMPRODUCT((K5:L5="特活")*(M5="×"))+SUMPRODUCT((K5:L5="学活")*(M5="×"))+SUMPRODUCT((N5:O5="特活")*(P5="×"))+SUMPRODUCT((N5:O5="学活")*(P5="×"))+SUMPRODUCT((B7:C7="特活")*(D7="×"))+SUMPRODUCT((B7:C7="学活")*(D7="×"))+SUMPRODUCT((E7:F7="特活")*(G7="×"))+SUMPRODUCT((E7:F7="学活")*(G7="×"))+SUMPRODUCT((H7:I7="特活")*(J7="×"))+SUMPRODUCT((H7:I7="学活")*(J7="×"))+SUMPRODUCT((K7:L7="特活")*(M7="×"))+SUMPRODUCT((K7:L7="学活")*(M7="×"))+SUMPRODUCT((N7:O7="特活")*(P7="×"))+SUMPRODUCT((N7:O7="学活")*(P7="×"))+SUMPRODUCT((B9:C9="特活")*(D9="×"))+SUMPRODUCT((B9:C9="学活")*(D9="×"))+SUMPRODUCT((E9:F9="特活")*(G9="×"))+SUMPRODUCT((E9:F9="学活")*(G9="×"))+SUMPRODUCT((H9:I9="特活")*(J9="×"))+SUMPRODUCT((H9:I9="学活")*(J9="×"))+SUMPRODUCT((K9:L9="特活")*(M9="×"))+SUMPRODUCT((K9:L9="学活")*(M9="×"))+SUMPRODUCT((N9:O9="特活")*(P9="×"))+SUMPRODUCT((N9:O9="学活")*(P9="×"))+SUMPRODUCT((B11:C11="特活")*(D11="×"))+SUMPRODUCT((B11:C11="学活")*(D11="×"))+SUMPRODUCT((E11:F11="特活")*(G11="×"))+SUMPRODUCT((E11:F11="学活")*(G11="×"))+SUMPRODUCT((H11:I11="特活")*(J11="×"))+SUMPRODUCT((H11:I11="学活")*(J11="×"))+SUMPRODUCT((K11:L11="特活")*(M11="×"))+SUMPRODUCT((K11:L11="学活")*(M11="×"))+SUMPRODUCT((N11:O11="特活")*(P11="×"))+SUMPRODUCT((N11:O11="学活")*(P11="×"))+SUMPRODUCT((B13:C13="特活")*(D13="×"))+SUMPRODUCT((B13:C13="学活")*(D13="×"))+SUMPRODUCT((E13:F13="特活")*(G13="×"))+SUMPRODUCT((E13:F13="学活")*(G13="×"))+SUMPRODUCT((H13:I13="特活")*(J13="×"))+SUMPRODUCT((H13:I13="学活")*(J13="×"))+SUMPRODUCT((K13:L13="特活")*(M13="×"))+SUMPRODUCT((K13:L13="学活")*(M13="×"))+SUMPRODUCT((N13:O13="特活")*(P13="×"))+SUMPRODUCT((N13:O13="学活")*(P13="×"))+SUMPRODUCT((B15:C15="特活")*(D15="×"))+SUMPRODUCT((B15:C15="学活")*(D15="×"))+SUMPRODUCT((E15:F15="特活")*(G15="×"))+SUMPRODUCT((E15:F15="学活")*(G15="×"))+SUMPRODUCT((H15:I15="特活")*(J15="×"))+SUMPRODUCT((H15:I15="学活")*(J15="×"))+SUMPRODUCT((K15:L15="特活")*(M15="×"))+SUMPRODUCT((K15:L15="学活")*(M15="×"))+SUMPRODUCT((N15:O15="特活")*(P15="×"))+SUMPRODUCT((N15:O15="学活")*(P15="×"))+SUMPRODUCT((B17:C17="特活")*(D17="×"))+SUMPRODUCT((B17:C17="学活")*(D17="×"))+SUMPRODUCT((E17:F17="特活")*(G17="×"))+SUMPRODUCT((E17:F17="学活")*(G17="×"))+SUMPRODUCT((H17:I17="特活")*(J17="×"))+SUMPRODUCT((H17:I17="学活")*(J17="×"))+SUMPRODUCT((K17:L17="特活")*(M17="×"))+SUMPRODUCT((K17:L17="学活")*(M17="×"))+SUMPRODUCT((N17:O17="特活")*(P17="×"))+SUMPRODUCT((N17:O17="学活")*(P17="×"))))</f>
        <v/>
      </c>
      <c r="N23" s="19">
        <f>IF(N24="","",N24-(SUMPRODUCT((B5:C5=N21)*(D5="×"))+SUMPRODUCT((E5:F5=N21)*(G5="×"))+SUMPRODUCT((H5:I5=N21)*(J5="×"))+SUMPRODUCT((K5:L5=N21)*(M5="×"))+SUMPRODUCT((N5:O5=N21)*(P5="×"))+SUMPRODUCT((B7:C7=N21)*(D7="×"))+SUMPRODUCT((E7:F7=N21)*(G7="×"))+SUMPRODUCT((H7:I7=N21)*(J7="×"))+SUMPRODUCT((K7:L7=N21)*(M7="×"))+SUMPRODUCT((N7:O7=N21)*(P7="×"))+SUMPRODUCT((B9:C9=N21)*(D9="×"))+SUMPRODUCT((E9:F9=N21)*(G9="×"))+SUMPRODUCT((H9:I9=N21)*(J9="×"))+SUMPRODUCT((K9:L9=N21)*(M9="×"))+SUMPRODUCT((N9:O9=N21)*(P9="×"))+SUMPRODUCT((B11:C11=N21)*(D11="×"))+SUMPRODUCT((E11:F11=N21)*(G11="×"))+SUMPRODUCT((H11:I11=N21)*(J11="×"))+SUMPRODUCT((K11:L11=N21)*(M11="×"))+SUMPRODUCT((N11:O11=N21)*(P11="×"))+SUMPRODUCT((B13:C13=N21)*(D13="×"))+SUMPRODUCT((E13:F13=N21)*(G13="×"))+SUMPRODUCT((H13:I13=N21)*(J13="×"))+SUMPRODUCT((K13:L13=N21)*(M13="×"))+SUMPRODUCT((N13:O13=N21)*(P13="×"))+SUMPRODUCT((B15:C15=N21)*(D15="×"))+SUMPRODUCT((E15:F15=N21)*(G15="×"))+SUMPRODUCT((H15:I15=N21)*(J15="×"))+SUMPRODUCT((K15:L15=N21)*(M15="×"))+SUMPRODUCT((N15:O15=N21)*(P15="×"))+SUMPRODUCT((B17:C17=N21)*(D17="×"))+SUMPRODUCT((E17:F17=N21)*(G17="×"))+SUMPRODUCT((H17:I17=N21)*(J17="×"))+SUMPRODUCT((K17:L17=N21)*(M17="×"))+SUMPRODUCT((N17:O17=N21)*(P17="×"))))</f>
        <v/>
      </c>
      <c r="O23" s="19">
        <f>IF(O24="","",O24-(SUMPRODUCT((B5:C5=O21)*(D5="×"))+SUMPRODUCT((E5:F5=O21)*(G5="×"))+SUMPRODUCT((H5:I5=O21)*(J5="×"))+SUMPRODUCT((K5:L5=O21)*(M5="×"))+SUMPRODUCT((N5:O5=O21)*(P5="×"))+SUMPRODUCT((B7:C7=O21)*(D7="×"))+SUMPRODUCT((E7:F7=O21)*(G7="×"))+SUMPRODUCT((H7:I7=O21)*(J7="×"))+SUMPRODUCT((K7:L7=O21)*(M7="×"))+SUMPRODUCT((N7:O7=O21)*(P7="×"))+SUMPRODUCT((B9:C9=O21)*(D9="×"))+SUMPRODUCT((E9:F9=O21)*(G9="×"))+SUMPRODUCT((H9:I9=O21)*(J9="×"))+SUMPRODUCT((K9:L9=O21)*(M9="×"))+SUMPRODUCT((N9:O9=O21)*(P9="×"))+SUMPRODUCT((B11:C11=O21)*(D11="×"))+SUMPRODUCT((E11:F11=O21)*(G11="×"))+SUMPRODUCT((H11:I11=O21)*(J11="×"))+SUMPRODUCT((K11:L11=O21)*(M11="×"))+SUMPRODUCT((N11:O11=O21)*(P11="×"))+SUMPRODUCT((B13:C13=O21)*(D13="×"))+SUMPRODUCT((E13:F13=O21)*(G13="×"))+SUMPRODUCT((H13:I13=O21)*(J13="×"))+SUMPRODUCT((K13:L13=O21)*(M13="×"))+SUMPRODUCT((N13:O13=O21)*(P13="×"))+SUMPRODUCT((B15:C15=O21)*(D15="×"))+SUMPRODUCT((E15:F15=O21)*(G15="×"))+SUMPRODUCT((H15:I15=O21)*(J15="×"))+SUMPRODUCT((K15:L15=O21)*(M15="×"))+SUMPRODUCT((N15:O15=O21)*(P15="×"))+SUMPRODUCT((B17:C17=O21)*(D17="×"))+SUMPRODUCT((E17:F17=O21)*(G17="×"))+SUMPRODUCT((H17:I17=O21)*(J17="×"))+SUMPRODUCT((K17:L17=O21)*(M17="×"))+SUMPRODUCT((N17:O17=O21)*(P17="×"))))</f>
        <v/>
      </c>
      <c r="P23" s="20">
        <f>IF(SUM(B23:O23)=0,"",SUM(B23:O23))</f>
        <v/>
      </c>
    </row>
    <row r="24" spans="1:16" ht="13.5" customHeight="1" x14ac:dyDescent="0.2">
      <c r="A24" s="36"/>
      <c r="B24" s="21">
        <f>IF(B21="","",IF(COUNTIF(B5:C5,B21)+COUNTIF(B5:C5,"*,"&amp;B21&amp;",*")+COUNTIF(E5:F5,B21)+COUNTIF(E5:F5,"*,"&amp;B21&amp;",*")+COUNTIF(H5:I5,B21)+COUNTIF(H5:I5,"*,"&amp;B21&amp;",*")+COUNTIF(K5:L5,B21)+COUNTIF(K5:L5,"*,"&amp;B21&amp;",*")+COUNTIF(N5:O5,B21)+COUNTIF(N5:O5,"*,"&amp;B21&amp;",*")+COUNTIF(B7:C7,B21)+COUNTIF(B7:C7,"*,"&amp;B21&amp;",*")+COUNTIF(E7:F7,B21)+COUNTIF(E7:F7,"*,"&amp;B21&amp;",*")+COUNTIF(H7:I7,B21)+COUNTIF(H7:I7,"*,"&amp;B21&amp;",*")+COUNTIF(K7:L7,B21)+COUNTIF(K7:L7,"*,"&amp;B21&amp;",*")+COUNTIF(N7:O7,B21)+COUNTIF(N7:O7,"*,"&amp;B21&amp;",*")+COUNTIF(B9:C9,B21)+COUNTIF(B9:C9,"*,"&amp;B21&amp;",*")+COUNTIF(E9:F9,B21)+COUNTIF(E9:F9,"*,"&amp;B21&amp;",*")+COUNTIF(H9:I9,B21)+COUNTIF(H9:I9,"*,"&amp;B21&amp;",*")+COUNTIF(K9:L9,B21)+COUNTIF(K9:L9,"*,"&amp;B21&amp;",*")+COUNTIF(N9:O9,B21)+COUNTIF(N9:O9,"*,"&amp;B21&amp;",*")+COUNTIF(B11:C11,B21)+COUNTIF(B11:C11,"*,"&amp;B21&amp;",*")+COUNTIF(E11:F11,B21)+COUNTIF(E11:F11,"*,"&amp;B21&amp;",*")+COUNTIF(H11:I11,B21)+COUNTIF(H11:I11,"*,"&amp;B21&amp;",*")+COUNTIF(K11:L11,B21)+COUNTIF(K11:L11,"*,"&amp;B21&amp;",*")+COUNTIF(N11:O11,B21)+COUNTIF(N11:O11,"*,"&amp;B21&amp;",*")+COUNTIF(B13:C13,B21)+COUNTIF(B13:C13,"*,"&amp;B21&amp;",*")+COUNTIF(E13:F13,B21)+COUNTIF(E13:F13,"*,"&amp;B21&amp;",*")+COUNTIF(H13:I13,B21)+COUNTIF(H13:I13,"*,"&amp;B21&amp;",*")+COUNTIF(K13:L13,B21)+COUNTIF(K13:L13,"*,"&amp;B21&amp;",*")+COUNTIF(N13:O13,B21)+COUNTIF(N13:O13,"*,"&amp;B21&amp;",*")+COUNTIF(B15:C15,B21)+COUNTIF(B15:C15,"*,"&amp;B21&amp;",*")+COUNTIF(E15:F15,B21)+COUNTIF(E15:F15,"*,"&amp;B21&amp;",*")+COUNTIF(H15:I15,B21)+COUNTIF(H15:I15,"*,"&amp;B21&amp;",*")+COUNTIF(K15:L15,B21)+COUNTIF(K15:L15,"*,"&amp;B21&amp;",*")+COUNTIF(N15:O15,B21)+COUNTIF(N15:O15,"*,"&amp;B21&amp;",*")+COUNTIF(B17:C17,B21)+COUNTIF(B17:C17,"*,"&amp;B21&amp;",*")+COUNTIF(E17:F17,B21)+COUNTIF(E17:F17,"*,"&amp;B21&amp;",*")+COUNTIF(H17:I17,B21)+COUNTIF(H17:I17,"*,"&amp;B21&amp;",*")+COUNTIF(K17:L17,B21)+COUNTIF(K17:L17,"*,"&amp;B21&amp;",*")+COUNTIF(N17:O17,B21)+COUNTIF(N17:O17,"*,"&amp;B21&amp;",*")=0,"",COUNTIF(B5:C5,B21)+COUNTIF(B5:C5,"*,"&amp;B21&amp;",*")+COUNTIF(E5:F5,B21)+COUNTIF(E5:F5,"*,"&amp;B21&amp;",*")+COUNTIF(H5:I5,B21)+COUNTIF(H5:I5,"*,"&amp;B21&amp;",*")+COUNTIF(K5:L5,B21)+COUNTIF(K5:L5,"*,"&amp;B21&amp;",*")+COUNTIF(N5:O5,B21)+COUNTIF(N5:O5,"*,"&amp;B21&amp;",*")+COUNTIF(B7:C7,B21)+COUNTIF(B7:C7,"*,"&amp;B21&amp;",*")+COUNTIF(E7:F7,B21)+COUNTIF(E7:F7,"*,"&amp;B21&amp;",*")+COUNTIF(H7:I7,B21)+COUNTIF(H7:I7,"*,"&amp;B21&amp;",*")+COUNTIF(K7:L7,B21)+COUNTIF(K7:L7,"*,"&amp;B21&amp;",*")+COUNTIF(N7:O7,B21)+COUNTIF(N7:O7,"*,"&amp;B21&amp;",*")+COUNTIF(B9:C9,B21)+COUNTIF(B9:C9,"*,"&amp;B21&amp;",*")+COUNTIF(E9:F9,B21)+COUNTIF(E9:F9,"*,"&amp;B21&amp;",*")+COUNTIF(H9:I9,B21)+COUNTIF(H9:I9,"*,"&amp;B21&amp;",*")+COUNTIF(K9:L9,B21)+COUNTIF(K9:L9,"*,"&amp;B21&amp;",*")+COUNTIF(N9:O9,B21)+COUNTIF(N9:O9,"*,"&amp;B21&amp;",*")+COUNTIF(B11:C11,B21)+COUNTIF(B11:C11,"*,"&amp;B21&amp;",*")+COUNTIF(E11:F11,B21)+COUNTIF(E11:F11,"*,"&amp;B21&amp;",*")+COUNTIF(H11:I11,B21)+COUNTIF(H11:I11,"*,"&amp;B21&amp;",*")+COUNTIF(K11:L11,B21)+COUNTIF(K11:L11,"*,"&amp;B21&amp;",*")+COUNTIF(N11:O11,B21)+COUNTIF(N11:O11,"*,"&amp;B21&amp;",*")+COUNTIF(B13:C13,B21)+COUNTIF(B13:C13,"*,"&amp;B21&amp;",*")+COUNTIF(E13:F13,B21)+COUNTIF(E13:F13,"*,"&amp;B21&amp;",*")+COUNTIF(H13:I13,B21)+COUNTIF(H13:I13,"*,"&amp;B21&amp;",*")+COUNTIF(K13:L13,B21)+COUNTIF(K13:L13,"*,"&amp;B21&amp;",*")+COUNTIF(N13:O13,B21)+COUNTIF(N13:O13,"*,"&amp;B21&amp;",*")+COUNTIF(B15:C15,B21)+COUNTIF(B15:C15,"*,"&amp;B21&amp;",*")+COUNTIF(E15:F15,B21)+COUNTIF(E15:F15,"*,"&amp;B21&amp;",*")+COUNTIF(H15:I15,B21)+COUNTIF(H15:I15,"*,"&amp;B21&amp;",*")+COUNTIF(K15:L15,B21)+COUNTIF(K15:L15,"*,"&amp;B21&amp;",*")+COUNTIF(N15:O15,B21)+COUNTIF(N15:O15,"*,"&amp;B21&amp;",*")+COUNTIF(B17:C17,B21)+COUNTIF(B17:C17,"*,"&amp;B21&amp;",*")+COUNTIF(E17:F17,B21)+COUNTIF(E17:F17,"*,"&amp;B21&amp;",*")+COUNTIF(H17:I17,B21)+COUNTIF(H17:I17,"*,"&amp;B21&amp;",*")+COUNTIF(K17:L17,B21)+COUNTIF(K17:L17,"*,"&amp;B21&amp;",*")+COUNTIF(N17:O17,B21)+COUNTIF(N17:O17,"*,"&amp;B21&amp;",*")))</f>
        <v/>
      </c>
      <c r="C24" s="21">
        <f>IF(C21="","",IF(COUNTIF(B5:C5,C21)+COUNTIF(B5:C5,"*,"&amp;C21&amp;",*")+COUNTIF(E5:F5,C21)+COUNTIF(E5:F5,"*,"&amp;C21&amp;",*")+COUNTIF(H5:I5,C21)+COUNTIF(H5:I5,"*,"&amp;C21&amp;",*")+COUNTIF(K5:L5,C21)+COUNTIF(K5:L5,"*,"&amp;C21&amp;",*")+COUNTIF(N5:O5,C21)+COUNTIF(N5:O5,"*,"&amp;C21&amp;",*")+COUNTIF(B7:C7,C21)+COUNTIF(B7:C7,"*,"&amp;C21&amp;",*")+COUNTIF(E7:F7,C21)+COUNTIF(E7:F7,"*,"&amp;C21&amp;",*")+COUNTIF(H7:I7,C21)+COUNTIF(H7:I7,"*,"&amp;C21&amp;",*")+COUNTIF(K7:L7,C21)+COUNTIF(K7:L7,"*,"&amp;C21&amp;",*")+COUNTIF(N7:O7,C21)+COUNTIF(N7:O7,"*,"&amp;C21&amp;",*")+COUNTIF(B9:C9,C21)+COUNTIF(B9:C9,"*,"&amp;C21&amp;",*")+COUNTIF(E9:F9,C21)+COUNTIF(E9:F9,"*,"&amp;C21&amp;",*")+COUNTIF(H9:I9,C21)+COUNTIF(H9:I9,"*,"&amp;C21&amp;",*")+COUNTIF(K9:L9,C21)+COUNTIF(K9:L9,"*,"&amp;C21&amp;",*")+COUNTIF(N9:O9,C21)+COUNTIF(N9:O9,"*,"&amp;C21&amp;",*")+COUNTIF(B11:C11,C21)+COUNTIF(B11:C11,"*,"&amp;C21&amp;",*")+COUNTIF(E11:F11,C21)+COUNTIF(E11:F11,"*,"&amp;C21&amp;",*")+COUNTIF(H11:I11,C21)+COUNTIF(H11:I11,"*,"&amp;C21&amp;",*")+COUNTIF(K11:L11,C21)+COUNTIF(K11:L11,"*,"&amp;C21&amp;",*")+COUNTIF(N11:O11,C21)+COUNTIF(N11:O11,"*,"&amp;C21&amp;",*")+COUNTIF(B13:C13,C21)+COUNTIF(B13:C13,"*,"&amp;C21&amp;",*")+COUNTIF(E13:F13,C21)+COUNTIF(E13:F13,"*,"&amp;C21&amp;",*")+COUNTIF(H13:I13,C21)+COUNTIF(H13:I13,"*,"&amp;C21&amp;",*")+COUNTIF(K13:L13,C21)+COUNTIF(K13:L13,"*,"&amp;C21&amp;",*")+COUNTIF(N13:O13,C21)+COUNTIF(N13:O13,"*,"&amp;C21&amp;",*")+COUNTIF(B15:C15,C21)+COUNTIF(B15:C15,"*,"&amp;C21&amp;",*")+COUNTIF(E15:F15,C21)+COUNTIF(E15:F15,"*,"&amp;C21&amp;",*")+COUNTIF(H15:I15,C21)+COUNTIF(H15:I15,"*,"&amp;C21&amp;",*")+COUNTIF(K15:L15,C21)+COUNTIF(K15:L15,"*,"&amp;C21&amp;",*")+COUNTIF(N15:O15,C21)+COUNTIF(N15:O15,"*,"&amp;C21&amp;",*")+COUNTIF(B17:C17,C21)+COUNTIF(B17:C17,"*,"&amp;C21&amp;",*")+COUNTIF(E17:F17,C21)+COUNTIF(E17:F17,"*,"&amp;C21&amp;",*")+COUNTIF(H17:I17,C21)+COUNTIF(H17:I17,"*,"&amp;C21&amp;",*")+COUNTIF(K17:L17,C21)+COUNTIF(K17:L17,"*,"&amp;C21&amp;",*")+COUNTIF(N17:O17,C21)+COUNTIF(N17:O17,"*,"&amp;C21&amp;",*")=0,"",COUNTIF(B5:C5,C21)+COUNTIF(B5:C5,"*,"&amp;C21&amp;",*")+COUNTIF(E5:F5,C21)+COUNTIF(E5:F5,"*,"&amp;C21&amp;",*")+COUNTIF(H5:I5,C21)+COUNTIF(H5:I5,"*,"&amp;C21&amp;",*")+COUNTIF(K5:L5,C21)+COUNTIF(K5:L5,"*,"&amp;C21&amp;",*")+COUNTIF(N5:O5,C21)+COUNTIF(N5:O5,"*,"&amp;C21&amp;",*")+COUNTIF(B7:C7,C21)+COUNTIF(B7:C7,"*,"&amp;C21&amp;",*")+COUNTIF(E7:F7,C21)+COUNTIF(E7:F7,"*,"&amp;C21&amp;",*")+COUNTIF(H7:I7,C21)+COUNTIF(H7:I7,"*,"&amp;C21&amp;",*")+COUNTIF(K7:L7,C21)+COUNTIF(K7:L7,"*,"&amp;C21&amp;",*")+COUNTIF(N7:O7,C21)+COUNTIF(N7:O7,"*,"&amp;C21&amp;",*")+COUNTIF(B9:C9,C21)+COUNTIF(B9:C9,"*,"&amp;C21&amp;",*")+COUNTIF(E9:F9,C21)+COUNTIF(E9:F9,"*,"&amp;C21&amp;",*")+COUNTIF(H9:I9,C21)+COUNTIF(H9:I9,"*,"&amp;C21&amp;",*")+COUNTIF(K9:L9,C21)+COUNTIF(K9:L9,"*,"&amp;C21&amp;",*")+COUNTIF(N9:O9,C21)+COUNTIF(N9:O9,"*,"&amp;C21&amp;",*")+COUNTIF(B11:C11,C21)+COUNTIF(B11:C11,"*,"&amp;C21&amp;",*")+COUNTIF(E11:F11,C21)+COUNTIF(E11:F11,"*,"&amp;C21&amp;",*")+COUNTIF(H11:I11,C21)+COUNTIF(H11:I11,"*,"&amp;C21&amp;",*")+COUNTIF(K11:L11,C21)+COUNTIF(K11:L11,"*,"&amp;C21&amp;",*")+COUNTIF(N11:O11,C21)+COUNTIF(N11:O11,"*,"&amp;C21&amp;",*")+COUNTIF(B13:C13,C21)+COUNTIF(B13:C13,"*,"&amp;C21&amp;",*")+COUNTIF(E13:F13,C21)+COUNTIF(E13:F13,"*,"&amp;C21&amp;",*")+COUNTIF(H13:I13,C21)+COUNTIF(H13:I13,"*,"&amp;C21&amp;",*")+COUNTIF(K13:L13,C21)+COUNTIF(K13:L13,"*,"&amp;C21&amp;",*")+COUNTIF(N13:O13,C21)+COUNTIF(N13:O13,"*,"&amp;C21&amp;",*")+COUNTIF(B15:C15,C21)+COUNTIF(B15:C15,"*,"&amp;C21&amp;",*")+COUNTIF(E15:F15,C21)+COUNTIF(E15:F15,"*,"&amp;C21&amp;",*")+COUNTIF(H15:I15,C21)+COUNTIF(H15:I15,"*,"&amp;C21&amp;",*")+COUNTIF(K15:L15,C21)+COUNTIF(K15:L15,"*,"&amp;C21&amp;",*")+COUNTIF(N15:O15,C21)+COUNTIF(N15:O15,"*,"&amp;C21&amp;",*")+COUNTIF(B17:C17,C21)+COUNTIF(B17:C17,"*,"&amp;C21&amp;",*")+COUNTIF(E17:F17,C21)+COUNTIF(E17:F17,"*,"&amp;C21&amp;",*")+COUNTIF(H17:I17,C21)+COUNTIF(H17:I17,"*,"&amp;C21&amp;",*")+COUNTIF(K17:L17,C21)+COUNTIF(K17:L17,"*,"&amp;C21&amp;",*")+COUNTIF(N17:O17,C21)+COUNTIF(N17:O17,"*,"&amp;C21&amp;",*")))</f>
        <v/>
      </c>
      <c r="D24" s="21">
        <f>IF(D21="","",IF(COUNTIF(B5:C5,D21)+COUNTIF(B5:C5,"*,"&amp;D21&amp;",*")+COUNTIF(E5:F5,D21)+COUNTIF(E5:F5,"*,"&amp;D21&amp;",*")+COUNTIF(H5:I5,D21)+COUNTIF(H5:I5,"*,"&amp;D21&amp;",*")+COUNTIF(K5:L5,D21)+COUNTIF(K5:L5,"*,"&amp;D21&amp;",*")+COUNTIF(N5:O5,D21)+COUNTIF(N5:O5,"*,"&amp;D21&amp;",*")+COUNTIF(B7:C7,D21)+COUNTIF(B7:C7,"*,"&amp;D21&amp;",*")+COUNTIF(E7:F7,D21)+COUNTIF(E7:F7,"*,"&amp;D21&amp;",*")+COUNTIF(H7:I7,D21)+COUNTIF(H7:I7,"*,"&amp;D21&amp;",*")+COUNTIF(K7:L7,D21)+COUNTIF(K7:L7,"*,"&amp;D21&amp;",*")+COUNTIF(N7:O7,D21)+COUNTIF(N7:O7,"*,"&amp;D21&amp;",*")+COUNTIF(B9:C9,D21)+COUNTIF(B9:C9,"*,"&amp;D21&amp;",*")+COUNTIF(E9:F9,D21)+COUNTIF(E9:F9,"*,"&amp;D21&amp;",*")+COUNTIF(H9:I9,D21)+COUNTIF(H9:I9,"*,"&amp;D21&amp;",*")+COUNTIF(K9:L9,D21)+COUNTIF(K9:L9,"*,"&amp;D21&amp;",*")+COUNTIF(N9:O9,D21)+COUNTIF(N9:O9,"*,"&amp;D21&amp;",*")+COUNTIF(B11:C11,D21)+COUNTIF(B11:C11,"*,"&amp;D21&amp;",*")+COUNTIF(E11:F11,D21)+COUNTIF(E11:F11,"*,"&amp;D21&amp;",*")+COUNTIF(H11:I11,D21)+COUNTIF(H11:I11,"*,"&amp;D21&amp;",*")+COUNTIF(K11:L11,D21)+COUNTIF(K11:L11,"*,"&amp;D21&amp;",*")+COUNTIF(N11:O11,D21)+COUNTIF(N11:O11,"*,"&amp;D21&amp;",*")+COUNTIF(B13:C13,D21)+COUNTIF(B13:C13,"*,"&amp;D21&amp;",*")+COUNTIF(E13:F13,D21)+COUNTIF(E13:F13,"*,"&amp;D21&amp;",*")+COUNTIF(H13:I13,D21)+COUNTIF(H13:I13,"*,"&amp;D21&amp;",*")+COUNTIF(K13:L13,D21)+COUNTIF(K13:L13,"*,"&amp;D21&amp;",*")+COUNTIF(N13:O13,D21)+COUNTIF(N13:O13,"*,"&amp;D21&amp;",*")+COUNTIF(B15:C15,D21)+COUNTIF(B15:C15,"*,"&amp;D21&amp;",*")+COUNTIF(E15:F15,D21)+COUNTIF(E15:F15,"*,"&amp;D21&amp;",*")+COUNTIF(H15:I15,D21)+COUNTIF(H15:I15,"*,"&amp;D21&amp;",*")+COUNTIF(K15:L15,D21)+COUNTIF(K15:L15,"*,"&amp;D21&amp;",*")+COUNTIF(N15:O15,D21)+COUNTIF(N15:O15,"*,"&amp;D21&amp;",*")+COUNTIF(B17:C17,D21)+COUNTIF(B17:C17,"*,"&amp;D21&amp;",*")+COUNTIF(E17:F17,D21)+COUNTIF(E17:F17,"*,"&amp;D21&amp;",*")+COUNTIF(H17:I17,D21)+COUNTIF(H17:I17,"*,"&amp;D21&amp;",*")+COUNTIF(K17:L17,D21)+COUNTIF(K17:L17,"*,"&amp;D21&amp;",*")+COUNTIF(N17:O17,D21)+COUNTIF(N17:O17,"*,"&amp;D21&amp;",*")=0,"",COUNTIF(B5:C5,D21)+COUNTIF(B5:C5,"*,"&amp;D21&amp;",*")+COUNTIF(E5:F5,D21)+COUNTIF(E5:F5,"*,"&amp;D21&amp;",*")+COUNTIF(H5:I5,D21)+COUNTIF(H5:I5,"*,"&amp;D21&amp;",*")+COUNTIF(K5:L5,D21)+COUNTIF(K5:L5,"*,"&amp;D21&amp;",*")+COUNTIF(N5:O5,D21)+COUNTIF(N5:O5,"*,"&amp;D21&amp;",*")+COUNTIF(B7:C7,D21)+COUNTIF(B7:C7,"*,"&amp;D21&amp;",*")+COUNTIF(E7:F7,D21)+COUNTIF(E7:F7,"*,"&amp;D21&amp;",*")+COUNTIF(H7:I7,D21)+COUNTIF(H7:I7,"*,"&amp;D21&amp;",*")+COUNTIF(K7:L7,D21)+COUNTIF(K7:L7,"*,"&amp;D21&amp;",*")+COUNTIF(N7:O7,D21)+COUNTIF(N7:O7,"*,"&amp;D21&amp;",*")+COUNTIF(B9:C9,D21)+COUNTIF(B9:C9,"*,"&amp;D21&amp;",*")+COUNTIF(E9:F9,D21)+COUNTIF(E9:F9,"*,"&amp;D21&amp;",*")+COUNTIF(H9:I9,D21)+COUNTIF(H9:I9,"*,"&amp;D21&amp;",*")+COUNTIF(K9:L9,D21)+COUNTIF(K9:L9,"*,"&amp;D21&amp;",*")+COUNTIF(N9:O9,D21)+COUNTIF(N9:O9,"*,"&amp;D21&amp;",*")+COUNTIF(B11:C11,D21)+COUNTIF(B11:C11,"*,"&amp;D21&amp;",*")+COUNTIF(E11:F11,D21)+COUNTIF(E11:F11,"*,"&amp;D21&amp;",*")+COUNTIF(H11:I11,D21)+COUNTIF(H11:I11,"*,"&amp;D21&amp;",*")+COUNTIF(K11:L11,D21)+COUNTIF(K11:L11,"*,"&amp;D21&amp;",*")+COUNTIF(N11:O11,D21)+COUNTIF(N11:O11,"*,"&amp;D21&amp;",*")+COUNTIF(B13:C13,D21)+COUNTIF(B13:C13,"*,"&amp;D21&amp;",*")+COUNTIF(E13:F13,D21)+COUNTIF(E13:F13,"*,"&amp;D21&amp;",*")+COUNTIF(H13:I13,D21)+COUNTIF(H13:I13,"*,"&amp;D21&amp;",*")+COUNTIF(K13:L13,D21)+COUNTIF(K13:L13,"*,"&amp;D21&amp;",*")+COUNTIF(N13:O13,D21)+COUNTIF(N13:O13,"*,"&amp;D21&amp;",*")+COUNTIF(B15:C15,D21)+COUNTIF(B15:C15,"*,"&amp;D21&amp;",*")+COUNTIF(E15:F15,D21)+COUNTIF(E15:F15,"*,"&amp;D21&amp;",*")+COUNTIF(H15:I15,D21)+COUNTIF(H15:I15,"*,"&amp;D21&amp;",*")+COUNTIF(K15:L15,D21)+COUNTIF(K15:L15,"*,"&amp;D21&amp;",*")+COUNTIF(N15:O15,D21)+COUNTIF(N15:O15,"*,"&amp;D21&amp;",*")+COUNTIF(B17:C17,D21)+COUNTIF(B17:C17,"*,"&amp;D21&amp;",*")+COUNTIF(E17:F17,D21)+COUNTIF(E17:F17,"*,"&amp;D21&amp;",*")+COUNTIF(H17:I17,D21)+COUNTIF(H17:I17,"*,"&amp;D21&amp;",*")+COUNTIF(K17:L17,D21)+COUNTIF(K17:L17,"*,"&amp;D21&amp;",*")+COUNTIF(N17:O17,D21)+COUNTIF(N17:O17,"*,"&amp;D21&amp;",*")))</f>
        <v/>
      </c>
      <c r="E24" s="21">
        <f>IF(E21="","",IF(COUNTIF(B5:C5,E21)+COUNTIF(B5:C5,"*,"&amp;E21&amp;",*")+COUNTIF(E5:F5,E21)+COUNTIF(E5:F5,"*,"&amp;E21&amp;",*")+COUNTIF(H5:I5,E21)+COUNTIF(H5:I5,"*,"&amp;E21&amp;",*")+COUNTIF(K5:L5,E21)+COUNTIF(K5:L5,"*,"&amp;E21&amp;",*")+COUNTIF(N5:O5,E21)+COUNTIF(N5:O5,"*,"&amp;E21&amp;",*")+COUNTIF(B7:C7,E21)+COUNTIF(B7:C7,"*,"&amp;E21&amp;",*")+COUNTIF(E7:F7,E21)+COUNTIF(E7:F7,"*,"&amp;E21&amp;",*")+COUNTIF(H7:I7,E21)+COUNTIF(H7:I7,"*,"&amp;E21&amp;",*")+COUNTIF(K7:L7,E21)+COUNTIF(K7:L7,"*,"&amp;E21&amp;",*")+COUNTIF(N7:O7,E21)+COUNTIF(N7:O7,"*,"&amp;E21&amp;",*")+COUNTIF(B9:C9,E21)+COUNTIF(B9:C9,"*,"&amp;E21&amp;",*")+COUNTIF(E9:F9,E21)+COUNTIF(E9:F9,"*,"&amp;E21&amp;",*")+COUNTIF(H9:I9,E21)+COUNTIF(H9:I9,"*,"&amp;E21&amp;",*")+COUNTIF(K9:L9,E21)+COUNTIF(K9:L9,"*,"&amp;E21&amp;",*")+COUNTIF(N9:O9,E21)+COUNTIF(N9:O9,"*,"&amp;E21&amp;",*")+COUNTIF(B11:C11,E21)+COUNTIF(B11:C11,"*,"&amp;E21&amp;",*")+COUNTIF(E11:F11,E21)+COUNTIF(E11:F11,"*,"&amp;E21&amp;",*")+COUNTIF(H11:I11,E21)+COUNTIF(H11:I11,"*,"&amp;E21&amp;",*")+COUNTIF(K11:L11,E21)+COUNTIF(K11:L11,"*,"&amp;E21&amp;",*")+COUNTIF(N11:O11,E21)+COUNTIF(N11:O11,"*,"&amp;E21&amp;",*")+COUNTIF(B13:C13,E21)+COUNTIF(B13:C13,"*,"&amp;E21&amp;",*")+COUNTIF(E13:F13,E21)+COUNTIF(E13:F13,"*,"&amp;E21&amp;",*")+COUNTIF(H13:I13,E21)+COUNTIF(H13:I13,"*,"&amp;E21&amp;",*")+COUNTIF(K13:L13,E21)+COUNTIF(K13:L13,"*,"&amp;E21&amp;",*")+COUNTIF(N13:O13,E21)+COUNTIF(N13:O13,"*,"&amp;E21&amp;",*")+COUNTIF(B15:C15,E21)+COUNTIF(B15:C15,"*,"&amp;E21&amp;",*")+COUNTIF(E15:F15,E21)+COUNTIF(E15:F15,"*,"&amp;E21&amp;",*")+COUNTIF(H15:I15,E21)+COUNTIF(H15:I15,"*,"&amp;E21&amp;",*")+COUNTIF(K15:L15,E21)+COUNTIF(K15:L15,"*,"&amp;E21&amp;",*")+COUNTIF(N15:O15,E21)+COUNTIF(N15:O15,"*,"&amp;E21&amp;",*")+COUNTIF(B17:C17,E21)+COUNTIF(B17:C17,"*,"&amp;E21&amp;",*")+COUNTIF(E17:F17,E21)+COUNTIF(E17:F17,"*,"&amp;E21&amp;",*")+COUNTIF(H17:I17,E21)+COUNTIF(H17:I17,"*,"&amp;E21&amp;",*")+COUNTIF(K17:L17,E21)+COUNTIF(K17:L17,"*,"&amp;E21&amp;",*")+COUNTIF(N17:O17,E21)+COUNTIF(N17:O17,"*,"&amp;E21&amp;",*")=0,"",COUNTIF(B5:C5,E21)+COUNTIF(B5:C5,"*,"&amp;E21&amp;",*")+COUNTIF(E5:F5,E21)+COUNTIF(E5:F5,"*,"&amp;E21&amp;",*")+COUNTIF(H5:I5,E21)+COUNTIF(H5:I5,"*,"&amp;E21&amp;",*")+COUNTIF(K5:L5,E21)+COUNTIF(K5:L5,"*,"&amp;E21&amp;",*")+COUNTIF(N5:O5,E21)+COUNTIF(N5:O5,"*,"&amp;E21&amp;",*")+COUNTIF(B7:C7,E21)+COUNTIF(B7:C7,"*,"&amp;E21&amp;",*")+COUNTIF(E7:F7,E21)+COUNTIF(E7:F7,"*,"&amp;E21&amp;",*")+COUNTIF(H7:I7,E21)+COUNTIF(H7:I7,"*,"&amp;E21&amp;",*")+COUNTIF(K7:L7,E21)+COUNTIF(K7:L7,"*,"&amp;E21&amp;",*")+COUNTIF(N7:O7,E21)+COUNTIF(N7:O7,"*,"&amp;E21&amp;",*")+COUNTIF(B9:C9,E21)+COUNTIF(B9:C9,"*,"&amp;E21&amp;",*")+COUNTIF(E9:F9,E21)+COUNTIF(E9:F9,"*,"&amp;E21&amp;",*")+COUNTIF(H9:I9,E21)+COUNTIF(H9:I9,"*,"&amp;E21&amp;",*")+COUNTIF(K9:L9,E21)+COUNTIF(K9:L9,"*,"&amp;E21&amp;",*")+COUNTIF(N9:O9,E21)+COUNTIF(N9:O9,"*,"&amp;E21&amp;",*")+COUNTIF(B11:C11,E21)+COUNTIF(B11:C11,"*,"&amp;E21&amp;",*")+COUNTIF(E11:F11,E21)+COUNTIF(E11:F11,"*,"&amp;E21&amp;",*")+COUNTIF(H11:I11,E21)+COUNTIF(H11:I11,"*,"&amp;E21&amp;",*")+COUNTIF(K11:L11,E21)+COUNTIF(K11:L11,"*,"&amp;E21&amp;",*")+COUNTIF(N11:O11,E21)+COUNTIF(N11:O11,"*,"&amp;E21&amp;",*")+COUNTIF(B13:C13,E21)+COUNTIF(B13:C13,"*,"&amp;E21&amp;",*")+COUNTIF(E13:F13,E21)+COUNTIF(E13:F13,"*,"&amp;E21&amp;",*")+COUNTIF(H13:I13,E21)+COUNTIF(H13:I13,"*,"&amp;E21&amp;",*")+COUNTIF(K13:L13,E21)+COUNTIF(K13:L13,"*,"&amp;E21&amp;",*")+COUNTIF(N13:O13,E21)+COUNTIF(N13:O13,"*,"&amp;E21&amp;",*")+COUNTIF(B15:C15,E21)+COUNTIF(B15:C15,"*,"&amp;E21&amp;",*")+COUNTIF(E15:F15,E21)+COUNTIF(E15:F15,"*,"&amp;E21&amp;",*")+COUNTIF(H15:I15,E21)+COUNTIF(H15:I15,"*,"&amp;E21&amp;",*")+COUNTIF(K15:L15,E21)+COUNTIF(K15:L15,"*,"&amp;E21&amp;",*")+COUNTIF(N15:O15,E21)+COUNTIF(N15:O15,"*,"&amp;E21&amp;",*")+COUNTIF(B17:C17,E21)+COUNTIF(B17:C17,"*,"&amp;E21&amp;",*")+COUNTIF(E17:F17,E21)+COUNTIF(E17:F17,"*,"&amp;E21&amp;",*")+COUNTIF(H17:I17,E21)+COUNTIF(H17:I17,"*,"&amp;E21&amp;",*")+COUNTIF(K17:L17,E21)+COUNTIF(K17:L17,"*,"&amp;E21&amp;",*")+COUNTIF(N17:O17,E21)+COUNTIF(N17:O17,"*,"&amp;E21&amp;",*")))</f>
        <v/>
      </c>
      <c r="F24" s="21">
        <f>IF(F21="","",IF(COUNTIF(B5:C5,F21)+COUNTIF(B5:C5,"*,"&amp;F21&amp;",*")+COUNTIF(E5:F5,F21)+COUNTIF(E5:F5,"*,"&amp;F21&amp;",*")+COUNTIF(H5:I5,F21)+COUNTIF(H5:I5,"*,"&amp;F21&amp;",*")+COUNTIF(K5:L5,F21)+COUNTIF(K5:L5,"*,"&amp;F21&amp;",*")+COUNTIF(N5:O5,F21)+COUNTIF(N5:O5,"*,"&amp;F21&amp;",*")+COUNTIF(B7:C7,F21)+COUNTIF(B7:C7,"*,"&amp;F21&amp;",*")+COUNTIF(E7:F7,F21)+COUNTIF(E7:F7,"*,"&amp;F21&amp;",*")+COUNTIF(H7:I7,F21)+COUNTIF(H7:I7,"*,"&amp;F21&amp;",*")+COUNTIF(K7:L7,F21)+COUNTIF(K7:L7,"*,"&amp;F21&amp;",*")+COUNTIF(N7:O7,F21)+COUNTIF(N7:O7,"*,"&amp;F21&amp;",*")+COUNTIF(B9:C9,F21)+COUNTIF(B9:C9,"*,"&amp;F21&amp;",*")+COUNTIF(E9:F9,F21)+COUNTIF(E9:F9,"*,"&amp;F21&amp;",*")+COUNTIF(H9:I9,F21)+COUNTIF(H9:I9,"*,"&amp;F21&amp;",*")+COUNTIF(K9:L9,F21)+COUNTIF(K9:L9,"*,"&amp;F21&amp;",*")+COUNTIF(N9:O9,F21)+COUNTIF(N9:O9,"*,"&amp;F21&amp;",*")+COUNTIF(B11:C11,F21)+COUNTIF(B11:C11,"*,"&amp;F21&amp;",*")+COUNTIF(E11:F11,F21)+COUNTIF(E11:F11,"*,"&amp;F21&amp;",*")+COUNTIF(H11:I11,F21)+COUNTIF(H11:I11,"*,"&amp;F21&amp;",*")+COUNTIF(K11:L11,F21)+COUNTIF(K11:L11,"*,"&amp;F21&amp;",*")+COUNTIF(N11:O11,F21)+COUNTIF(N11:O11,"*,"&amp;F21&amp;",*")+COUNTIF(B13:C13,F21)+COUNTIF(B13:C13,"*,"&amp;F21&amp;",*")+COUNTIF(E13:F13,F21)+COUNTIF(E13:F13,"*,"&amp;F21&amp;",*")+COUNTIF(H13:I13,F21)+COUNTIF(H13:I13,"*,"&amp;F21&amp;",*")+COUNTIF(K13:L13,F21)+COUNTIF(K13:L13,"*,"&amp;F21&amp;",*")+COUNTIF(N13:O13,F21)+COUNTIF(N13:O13,"*,"&amp;F21&amp;",*")+COUNTIF(B15:C15,F21)+COUNTIF(B15:C15,"*,"&amp;F21&amp;",*")+COUNTIF(E15:F15,F21)+COUNTIF(E15:F15,"*,"&amp;F21&amp;",*")+COUNTIF(H15:I15,F21)+COUNTIF(H15:I15,"*,"&amp;F21&amp;",*")+COUNTIF(K15:L15,F21)+COUNTIF(K15:L15,"*,"&amp;F21&amp;",*")+COUNTIF(N15:O15,F21)+COUNTIF(N15:O15,"*,"&amp;F21&amp;",*")+COUNTIF(B17:C17,F21)+COUNTIF(B17:C17,"*,"&amp;F21&amp;",*")+COUNTIF(E17:F17,F21)+COUNTIF(E17:F17,"*,"&amp;F21&amp;",*")+COUNTIF(H17:I17,F21)+COUNTIF(H17:I17,"*,"&amp;F21&amp;",*")+COUNTIF(K17:L17,F21)+COUNTIF(K17:L17,"*,"&amp;F21&amp;",*")+COUNTIF(N17:O17,F21)+COUNTIF(N17:O17,"*,"&amp;F21&amp;",*")=0,"",COUNTIF(B5:C5,F21)+COUNTIF(B5:C5,"*,"&amp;F21&amp;",*")+COUNTIF(E5:F5,F21)+COUNTIF(E5:F5,"*,"&amp;F21&amp;",*")+COUNTIF(H5:I5,F21)+COUNTIF(H5:I5,"*,"&amp;F21&amp;",*")+COUNTIF(K5:L5,F21)+COUNTIF(K5:L5,"*,"&amp;F21&amp;",*")+COUNTIF(N5:O5,F21)+COUNTIF(N5:O5,"*,"&amp;F21&amp;",*")+COUNTIF(B7:C7,F21)+COUNTIF(B7:C7,"*,"&amp;F21&amp;",*")+COUNTIF(E7:F7,F21)+COUNTIF(E7:F7,"*,"&amp;F21&amp;",*")+COUNTIF(H7:I7,F21)+COUNTIF(H7:I7,"*,"&amp;F21&amp;",*")+COUNTIF(K7:L7,F21)+COUNTIF(K7:L7,"*,"&amp;F21&amp;",*")+COUNTIF(N7:O7,F21)+COUNTIF(N7:O7,"*,"&amp;F21&amp;",*")+COUNTIF(B9:C9,F21)+COUNTIF(B9:C9,"*,"&amp;F21&amp;",*")+COUNTIF(E9:F9,F21)+COUNTIF(E9:F9,"*,"&amp;F21&amp;",*")+COUNTIF(H9:I9,F21)+COUNTIF(H9:I9,"*,"&amp;F21&amp;",*")+COUNTIF(K9:L9,F21)+COUNTIF(K9:L9,"*,"&amp;F21&amp;",*")+COUNTIF(N9:O9,F21)+COUNTIF(N9:O9,"*,"&amp;F21&amp;",*")+COUNTIF(B11:C11,F21)+COUNTIF(B11:C11,"*,"&amp;F21&amp;",*")+COUNTIF(E11:F11,F21)+COUNTIF(E11:F11,"*,"&amp;F21&amp;",*")+COUNTIF(H11:I11,F21)+COUNTIF(H11:I11,"*,"&amp;F21&amp;",*")+COUNTIF(K11:L11,F21)+COUNTIF(K11:L11,"*,"&amp;F21&amp;",*")+COUNTIF(N11:O11,F21)+COUNTIF(N11:O11,"*,"&amp;F21&amp;",*")+COUNTIF(B13:C13,F21)+COUNTIF(B13:C13,"*,"&amp;F21&amp;",*")+COUNTIF(E13:F13,F21)+COUNTIF(E13:F13,"*,"&amp;F21&amp;",*")+COUNTIF(H13:I13,F21)+COUNTIF(H13:I13,"*,"&amp;F21&amp;",*")+COUNTIF(K13:L13,F21)+COUNTIF(K13:L13,"*,"&amp;F21&amp;",*")+COUNTIF(N13:O13,F21)+COUNTIF(N13:O13,"*,"&amp;F21&amp;",*")+COUNTIF(B15:C15,F21)+COUNTIF(B15:C15,"*,"&amp;F21&amp;",*")+COUNTIF(E15:F15,F21)+COUNTIF(E15:F15,"*,"&amp;F21&amp;",*")+COUNTIF(H15:I15,F21)+COUNTIF(H15:I15,"*,"&amp;F21&amp;",*")+COUNTIF(K15:L15,F21)+COUNTIF(K15:L15,"*,"&amp;F21&amp;",*")+COUNTIF(N15:O15,F21)+COUNTIF(N15:O15,"*,"&amp;F21&amp;",*")+COUNTIF(B17:C17,F21)+COUNTIF(B17:C17,"*,"&amp;F21&amp;",*")+COUNTIF(E17:F17,F21)+COUNTIF(E17:F17,"*,"&amp;F21&amp;",*")+COUNTIF(H17:I17,F21)+COUNTIF(H17:I17,"*,"&amp;F21&amp;",*")+COUNTIF(K17:L17,F21)+COUNTIF(K17:L17,"*,"&amp;F21&amp;",*")+COUNTIF(N17:O17,F21)+COUNTIF(N17:O17,"*,"&amp;F21&amp;",*")))</f>
        <v/>
      </c>
      <c r="G24" s="21">
        <f>IF(G21="","",IF(COUNTIF(B5:C5,G21)+COUNTIF(B5:C5,"*,"&amp;G21&amp;",*")+COUNTIF(E5:F5,G21)+COUNTIF(E5:F5,"*,"&amp;G21&amp;",*")+COUNTIF(H5:I5,G21)+COUNTIF(H5:I5,"*,"&amp;G21&amp;",*")+COUNTIF(K5:L5,G21)+COUNTIF(K5:L5,"*,"&amp;G21&amp;",*")+COUNTIF(N5:O5,G21)+COUNTIF(N5:O5,"*,"&amp;G21&amp;",*")+COUNTIF(B7:C7,G21)+COUNTIF(B7:C7,"*,"&amp;G21&amp;",*")+COUNTIF(E7:F7,G21)+COUNTIF(E7:F7,"*,"&amp;G21&amp;",*")+COUNTIF(H7:I7,G21)+COUNTIF(H7:I7,"*,"&amp;G21&amp;",*")+COUNTIF(K7:L7,G21)+COUNTIF(K7:L7,"*,"&amp;G21&amp;",*")+COUNTIF(N7:O7,G21)+COUNTIF(N7:O7,"*,"&amp;G21&amp;",*")+COUNTIF(B9:C9,G21)+COUNTIF(B9:C9,"*,"&amp;G21&amp;",*")+COUNTIF(E9:F9,G21)+COUNTIF(E9:F9,"*,"&amp;G21&amp;",*")+COUNTIF(H9:I9,G21)+COUNTIF(H9:I9,"*,"&amp;G21&amp;",*")+COUNTIF(K9:L9,G21)+COUNTIF(K9:L9,"*,"&amp;G21&amp;",*")+COUNTIF(N9:O9,G21)+COUNTIF(N9:O9,"*,"&amp;G21&amp;",*")+COUNTIF(B11:C11,G21)+COUNTIF(B11:C11,"*,"&amp;G21&amp;",*")+COUNTIF(E11:F11,G21)+COUNTIF(E11:F11,"*,"&amp;G21&amp;",*")+COUNTIF(H11:I11,G21)+COUNTIF(H11:I11,"*,"&amp;G21&amp;",*")+COUNTIF(K11:L11,G21)+COUNTIF(K11:L11,"*,"&amp;G21&amp;",*")+COUNTIF(N11:O11,G21)+COUNTIF(N11:O11,"*,"&amp;G21&amp;",*")+COUNTIF(B13:C13,G21)+COUNTIF(B13:C13,"*,"&amp;G21&amp;",*")+COUNTIF(E13:F13,G21)+COUNTIF(E13:F13,"*,"&amp;G21&amp;",*")+COUNTIF(H13:I13,G21)+COUNTIF(H13:I13,"*,"&amp;G21&amp;",*")+COUNTIF(K13:L13,G21)+COUNTIF(K13:L13,"*,"&amp;G21&amp;",*")+COUNTIF(N13:O13,G21)+COUNTIF(N13:O13,"*,"&amp;G21&amp;",*")+COUNTIF(B15:C15,G21)+COUNTIF(B15:C15,"*,"&amp;G21&amp;",*")+COUNTIF(E15:F15,G21)+COUNTIF(E15:F15,"*,"&amp;G21&amp;",*")+COUNTIF(H15:I15,G21)+COUNTIF(H15:I15,"*,"&amp;G21&amp;",*")+COUNTIF(K15:L15,G21)+COUNTIF(K15:L15,"*,"&amp;G21&amp;",*")+COUNTIF(N15:O15,G21)+COUNTIF(N15:O15,"*,"&amp;G21&amp;",*")+COUNTIF(B17:C17,G21)+COUNTIF(B17:C17,"*,"&amp;G21&amp;",*")+COUNTIF(E17:F17,G21)+COUNTIF(E17:F17,"*,"&amp;G21&amp;",*")+COUNTIF(H17:I17,G21)+COUNTIF(H17:I17,"*,"&amp;G21&amp;",*")+COUNTIF(K17:L17,G21)+COUNTIF(K17:L17,"*,"&amp;G21&amp;",*")+COUNTIF(N17:O17,G21)+COUNTIF(N17:O17,"*,"&amp;G21&amp;",*")=0,"",COUNTIF(B5:C5,G21)+COUNTIF(B5:C5,"*,"&amp;G21&amp;",*")+COUNTIF(E5:F5,G21)+COUNTIF(E5:F5,"*,"&amp;G21&amp;",*")+COUNTIF(H5:I5,G21)+COUNTIF(H5:I5,"*,"&amp;G21&amp;",*")+COUNTIF(K5:L5,G21)+COUNTIF(K5:L5,"*,"&amp;G21&amp;",*")+COUNTIF(N5:O5,G21)+COUNTIF(N5:O5,"*,"&amp;G21&amp;",*")+COUNTIF(B7:C7,G21)+COUNTIF(B7:C7,"*,"&amp;G21&amp;",*")+COUNTIF(E7:F7,G21)+COUNTIF(E7:F7,"*,"&amp;G21&amp;",*")+COUNTIF(H7:I7,G21)+COUNTIF(H7:I7,"*,"&amp;G21&amp;",*")+COUNTIF(K7:L7,G21)+COUNTIF(K7:L7,"*,"&amp;G21&amp;",*")+COUNTIF(N7:O7,G21)+COUNTIF(N7:O7,"*,"&amp;G21&amp;",*")+COUNTIF(B9:C9,G21)+COUNTIF(B9:C9,"*,"&amp;G21&amp;",*")+COUNTIF(E9:F9,G21)+COUNTIF(E9:F9,"*,"&amp;G21&amp;",*")+COUNTIF(H9:I9,G21)+COUNTIF(H9:I9,"*,"&amp;G21&amp;",*")+COUNTIF(K9:L9,G21)+COUNTIF(K9:L9,"*,"&amp;G21&amp;",*")+COUNTIF(N9:O9,G21)+COUNTIF(N9:O9,"*,"&amp;G21&amp;",*")+COUNTIF(B11:C11,G21)+COUNTIF(B11:C11,"*,"&amp;G21&amp;",*")+COUNTIF(E11:F11,G21)+COUNTIF(E11:F11,"*,"&amp;G21&amp;",*")+COUNTIF(H11:I11,G21)+COUNTIF(H11:I11,"*,"&amp;G21&amp;",*")+COUNTIF(K11:L11,G21)+COUNTIF(K11:L11,"*,"&amp;G21&amp;",*")+COUNTIF(N11:O11,G21)+COUNTIF(N11:O11,"*,"&amp;G21&amp;",*")+COUNTIF(B13:C13,G21)+COUNTIF(B13:C13,"*,"&amp;G21&amp;",*")+COUNTIF(E13:F13,G21)+COUNTIF(E13:F13,"*,"&amp;G21&amp;",*")+COUNTIF(H13:I13,G21)+COUNTIF(H13:I13,"*,"&amp;G21&amp;",*")+COUNTIF(K13:L13,G21)+COUNTIF(K13:L13,"*,"&amp;G21&amp;",*")+COUNTIF(N13:O13,G21)+COUNTIF(N13:O13,"*,"&amp;G21&amp;",*")+COUNTIF(B15:C15,G21)+COUNTIF(B15:C15,"*,"&amp;G21&amp;",*")+COUNTIF(E15:F15,G21)+COUNTIF(E15:F15,"*,"&amp;G21&amp;",*")+COUNTIF(H15:I15,G21)+COUNTIF(H15:I15,"*,"&amp;G21&amp;",*")+COUNTIF(K15:L15,G21)+COUNTIF(K15:L15,"*,"&amp;G21&amp;",*")+COUNTIF(N15:O15,G21)+COUNTIF(N15:O15,"*,"&amp;G21&amp;",*")+COUNTIF(B17:C17,G21)+COUNTIF(B17:C17,"*,"&amp;G21&amp;",*")+COUNTIF(E17:F17,G21)+COUNTIF(E17:F17,"*,"&amp;G21&amp;",*")+COUNTIF(H17:I17,G21)+COUNTIF(H17:I17,"*,"&amp;G21&amp;",*")+COUNTIF(K17:L17,G21)+COUNTIF(K17:L17,"*,"&amp;G21&amp;",*")+COUNTIF(N17:O17,G21)+COUNTIF(N17:O17,"*,"&amp;G21&amp;",*")))</f>
        <v/>
      </c>
      <c r="H24" s="21"/>
      <c r="I24" s="21"/>
      <c r="J24" s="21"/>
      <c r="K24" s="21"/>
      <c r="L24" s="21"/>
      <c r="M24" s="21">
        <f>IF(COUNTIF(B5:C5,"特活")+COUNTIF(B5:C5,"学活")+COUNTIF(E5:F5,"特活")+COUNTIF(E5:F5,"学活")+COUNTIF(H5:I5,"特活")+COUNTIF(H5:I5,"学活")+COUNTIF(K5:L5,"特活")+COUNTIF(K5:L5,"学活")+COUNTIF(N5:O5,"特活")+COUNTIF(N5:O5,"学活")+COUNTIF(B7:C7,"特活")+COUNTIF(B7:C7,"学活")+COUNTIF(E7:F7,"特活")+COUNTIF(E7:F7,"学活")+COUNTIF(H7:I7,"特活")+COUNTIF(H7:I7,"学活")+COUNTIF(K7:L7,"特活")+COUNTIF(K7:L7,"学活")+COUNTIF(N7:O7,"特活")+COUNTIF(N7:O7,"学活")+COUNTIF(B9:C9,"特活")+COUNTIF(B9:C9,"学活")+COUNTIF(E9:F9,"特活")+COUNTIF(E9:F9,"学活")+COUNTIF(H9:I9,"特活")+COUNTIF(H9:I9,"学活")+COUNTIF(K9:L9,"特活")+COUNTIF(K9:L9,"学活")+COUNTIF(N9:O9,"特活")+COUNTIF(N9:O9,"学活")+COUNTIF(B11:C11,"特活")+COUNTIF(B11:C11,"学活")+COUNTIF(E11:F11,"特活")+COUNTIF(E11:F11,"学活")+COUNTIF(H11:I11,"特活")+COUNTIF(H11:I11,"学活")+COUNTIF(K11:L11,"特活")+COUNTIF(K11:L11,"学活")+COUNTIF(N11:O11,"特活")+COUNTIF(N11:O11,"学活")+COUNTIF(B13:C13,"特活")+COUNTIF(B13:C13,"学活")+COUNTIF(E13:F13,"特活")+COUNTIF(E13:F13,"学活")+COUNTIF(H13:I13,"特活")+COUNTIF(H13:I13,"学活")+COUNTIF(K13:L13,"特活")+COUNTIF(K13:L13,"学活")+COUNTIF(N13:O13,"特活")+COUNTIF(N13:O13,"学活")+COUNTIF(B15:C15,"特活")+COUNTIF(B15:C15,"学活")+COUNTIF(E15:F15,"特活")+COUNTIF(E15:F15,"学活")+COUNTIF(H15:I15,"特活")+COUNTIF(H15:I15,"学活")+COUNTIF(K15:L15,"特活")+COUNTIF(K15:L15,"学活")+COUNTIF(N15:O15,"特活")+COUNTIF(N15:O15,"学活")+COUNTIF(B17:C17,"特活")+COUNTIF(B17:C17,"学活")+COUNTIF(E17:F17,"特活")+COUNTIF(E17:F17,"学活")+COUNTIF(H17:I17,"特活")+COUNTIF(H17:I17,"学活")+COUNTIF(K17:L17,"特活")+COUNTIF(K17:L17,"学活")+COUNTIF(N17:O17,"特活")+COUNTIF(N17:O17,"学活")=0,"",COUNTIF(B5:C5,"特活")+COUNTIF(B5:C5,"学活")+COUNTIF(E5:F5,"特活")+COUNTIF(E5:F5,"学活")+COUNTIF(H5:I5,"特活")+COUNTIF(H5:I5,"学活")+COUNTIF(K5:L5,"特活")+COUNTIF(K5:L5,"学活")+COUNTIF(N5:O5,"特活")+COUNTIF(N5:O5,"学活")+COUNTIF(B7:C7,"特活")+COUNTIF(B7:C7,"学活")+COUNTIF(E7:F7,"特活")+COUNTIF(E7:F7,"学活")+COUNTIF(H7:I7,"特活")+COUNTIF(H7:I7,"学活")+COUNTIF(K7:L7,"特活")+COUNTIF(K7:L7,"学活")+COUNTIF(N7:O7,"特活")+COUNTIF(N7:O7,"学活")+COUNTIF(B9:C9,"特活")+COUNTIF(B9:C9,"学活")+COUNTIF(E9:F9,"特活")+COUNTIF(E9:F9,"学活")+COUNTIF(H9:I9,"特活")+COUNTIF(H9:I9,"学活")+COUNTIF(K9:L9,"特活")+COUNTIF(K9:L9,"学活")+COUNTIF(N9:O9,"特活")+COUNTIF(N9:O9,"学活")+COUNTIF(B11:C11,"特活")+COUNTIF(B11:C11,"学活")+COUNTIF(E11:F11,"特活")+COUNTIF(E11:F11,"学活")+COUNTIF(H11:I11,"特活")+COUNTIF(H11:I11,"学活")+COUNTIF(K11:L11,"特活")+COUNTIF(K11:L11,"学活")+COUNTIF(N11:O11,"特活")+COUNTIF(N11:O11,"学活")+COUNTIF(B13:C13,"特活")+COUNTIF(B13:C13,"学活")+COUNTIF(E13:F13,"特活")+COUNTIF(E13:F13,"学活")+COUNTIF(H13:I13,"特活")+COUNTIF(H13:I13,"学活")+COUNTIF(K13:L13,"特活")+COUNTIF(K13:L13,"学活")+COUNTIF(N13:O13,"特活")+COUNTIF(N13:O13,"学活")+COUNTIF(B15:C15,"特活")+COUNTIF(B15:C15,"学活")+COUNTIF(E15:F15,"特活")+COUNTIF(E15:F15,"学活")+COUNTIF(H15:I15,"特活")+COUNTIF(H15:I15,"学活")+COUNTIF(K15:L15,"特活")+COUNTIF(K15:L15,"学活")+COUNTIF(N15:O15,"特活")+COUNTIF(N15:O15,"学活")+COUNTIF(B17:C17,"特活")+COUNTIF(B17:C17,"学活")+COUNTIF(E17:F17,"特活")+COUNTIF(E17:F17,"学活")+COUNTIF(H17:I17,"特活")+COUNTIF(H17:I17,"学活")+COUNTIF(K17:L17,"特活")+COUNTIF(K17:L17,"学活")+COUNTIF(N17:O17,"特活")+COUNTIF(N17:O17,"学活"))</f>
        <v/>
      </c>
      <c r="N24" s="21">
        <f>IF(COUNTIF(B5:C5,N21)+COUNTIF(B5:C5,"*,"&amp;N21&amp;",*")+COUNTIF(E5:F5,N21)+COUNTIF(E5:F5,"*,"&amp;N21&amp;",*")+COUNTIF(H5:I5,N21)+COUNTIF(H5:I5,"*,"&amp;N21&amp;",*")+COUNTIF(K5:L5,N21)+COUNTIF(K5:L5,"*,"&amp;N21&amp;",*")+COUNTIF(N5:O5,N21)+COUNTIF(N5:O5,"*,"&amp;N21&amp;",*")+COUNTIF(B7:C7,N21)+COUNTIF(B7:C7,"*,"&amp;N21&amp;",*")+COUNTIF(E7:F7,N21)+COUNTIF(E7:F7,"*,"&amp;N21&amp;",*")+COUNTIF(H7:I7,N21)+COUNTIF(H7:I7,"*,"&amp;N21&amp;",*")+COUNTIF(K7:L7,N21)+COUNTIF(K7:L7,"*,"&amp;N21&amp;",*")+COUNTIF(N7:O7,N21)+COUNTIF(N7:O7,"*,"&amp;N21&amp;",*")+COUNTIF(B9:C9,N21)+COUNTIF(B9:C9,"*,"&amp;N21&amp;",*")+COUNTIF(E9:F9,N21)+COUNTIF(E9:F9,"*,"&amp;N21&amp;",*")+COUNTIF(H9:I9,N21)+COUNTIF(H9:I9,"*,"&amp;N21&amp;",*")+COUNTIF(K9:L9,N21)+COUNTIF(K9:L9,"*,"&amp;N21&amp;",*")+COUNTIF(N9:O9,N21)+COUNTIF(N9:O9,"*,"&amp;N21&amp;",*")+COUNTIF(B11:C11,N21)+COUNTIF(B11:C11,"*,"&amp;N21&amp;",*")+COUNTIF(E11:F11,N21)+COUNTIF(E11:F11,"*,"&amp;N21&amp;",*")+COUNTIF(H11:I11,N21)+COUNTIF(H11:I11,"*,"&amp;N21&amp;",*")+COUNTIF(K11:L11,N21)+COUNTIF(K11:L11,"*,"&amp;N21&amp;",*")+COUNTIF(N11:O11,N21)+COUNTIF(N11:O11,"*,"&amp;N21&amp;",*")+COUNTIF(B13:C13,N21)+COUNTIF(B13:C13,"*,"&amp;N21&amp;",*")+COUNTIF(E13:F13,N21)+COUNTIF(E13:F13,"*,"&amp;N21&amp;",*")+COUNTIF(H13:I13,N21)+COUNTIF(H13:I13,"*,"&amp;N21&amp;",*")+COUNTIF(K13:L13,N21)+COUNTIF(K13:L13,"*,"&amp;N21&amp;",*")+COUNTIF(N13:O13,N21)+COUNTIF(N13:O13,"*,"&amp;N21&amp;",*")+COUNTIF(B15:C15,N21)+COUNTIF(B15:C15,"*,"&amp;N21&amp;",*")+COUNTIF(E15:F15,N21)+COUNTIF(E15:F15,"*,"&amp;N21&amp;",*")+COUNTIF(H15:I15,N21)+COUNTIF(H15:I15,"*,"&amp;N21&amp;",*")+COUNTIF(K15:L15,N21)+COUNTIF(K15:L15,"*,"&amp;N21&amp;",*")+COUNTIF(N15:O15,N21)+COUNTIF(N15:O15,"*,"&amp;N21&amp;",*")+COUNTIF(B17:C17,N21)+COUNTIF(B17:C17,"*,"&amp;N21&amp;",*")+COUNTIF(E17:F17,N21)+COUNTIF(E17:F17,"*,"&amp;N21&amp;",*")+COUNTIF(H17:I17,N21)+COUNTIF(H17:I17,"*,"&amp;N21&amp;",*")+COUNTIF(K17:L17,N21)+COUNTIF(K17:L17,"*,"&amp;N21&amp;",*")+COUNTIF(N17:O17,N21)+COUNTIF(N17:O17,"*,"&amp;N21&amp;",*")=0,"",COUNTIF(B5:C5,N21)+COUNTIF(B5:C5,"*,"&amp;N21&amp;",*")+COUNTIF(E5:F5,N21)+COUNTIF(E5:F5,"*,"&amp;N21&amp;",*")+COUNTIF(H5:I5,N21)+COUNTIF(H5:I5,"*,"&amp;N21&amp;",*")+COUNTIF(K5:L5,N21)+COUNTIF(K5:L5,"*,"&amp;N21&amp;",*")+COUNTIF(N5:O5,N21)+COUNTIF(N5:O5,"*,"&amp;N21&amp;",*")+COUNTIF(B7:C7,N21)+COUNTIF(B7:C7,"*,"&amp;N21&amp;",*")+COUNTIF(E7:F7,N21)+COUNTIF(E7:F7,"*,"&amp;N21&amp;",*")+COUNTIF(H7:I7,N21)+COUNTIF(H7:I7,"*,"&amp;N21&amp;",*")+COUNTIF(K7:L7,N21)+COUNTIF(K7:L7,"*,"&amp;N21&amp;",*")+COUNTIF(N7:O7,N21)+COUNTIF(N7:O7,"*,"&amp;N21&amp;",*")+COUNTIF(B9:C9,N21)+COUNTIF(B9:C9,"*,"&amp;N21&amp;",*")+COUNTIF(E9:F9,N21)+COUNTIF(E9:F9,"*,"&amp;N21&amp;",*")+COUNTIF(H9:I9,N21)+COUNTIF(H9:I9,"*,"&amp;N21&amp;",*")+COUNTIF(K9:L9,N21)+COUNTIF(K9:L9,"*,"&amp;N21&amp;",*")+COUNTIF(N9:O9,N21)+COUNTIF(N9:O9,"*,"&amp;N21&amp;",*")+COUNTIF(B11:C11,N21)+COUNTIF(B11:C11,"*,"&amp;N21&amp;",*")+COUNTIF(E11:F11,N21)+COUNTIF(E11:F11,"*,"&amp;N21&amp;",*")+COUNTIF(H11:I11,N21)+COUNTIF(H11:I11,"*,"&amp;N21&amp;",*")+COUNTIF(K11:L11,N21)+COUNTIF(K11:L11,"*,"&amp;N21&amp;",*")+COUNTIF(N11:O11,N21)+COUNTIF(N11:O11,"*,"&amp;N21&amp;",*")+COUNTIF(B13:C13,N21)+COUNTIF(B13:C13,"*,"&amp;N21&amp;",*")+COUNTIF(E13:F13,N21)+COUNTIF(E13:F13,"*,"&amp;N21&amp;",*")+COUNTIF(H13:I13,N21)+COUNTIF(H13:I13,"*,"&amp;N21&amp;",*")+COUNTIF(K13:L13,N21)+COUNTIF(K13:L13,"*,"&amp;N21&amp;",*")+COUNTIF(N13:O13,N21)+COUNTIF(N13:O13,"*,"&amp;N21&amp;",*")+COUNTIF(B15:C15,N21)+COUNTIF(B15:C15,"*,"&amp;N21&amp;",*")+COUNTIF(E15:F15,N21)+COUNTIF(E15:F15,"*,"&amp;N21&amp;",*")+COUNTIF(H15:I15,N21)+COUNTIF(H15:I15,"*,"&amp;N21&amp;",*")+COUNTIF(K15:L15,N21)+COUNTIF(K15:L15,"*,"&amp;N21&amp;",*")+COUNTIF(N15:O15,N21)+COUNTIF(N15:O15,"*,"&amp;N21&amp;",*")+COUNTIF(B17:C17,N21)+COUNTIF(B17:C17,"*,"&amp;N21&amp;",*")+COUNTIF(E17:F17,N21)+COUNTIF(E17:F17,"*,"&amp;N21&amp;",*")+COUNTIF(H17:I17,N21)+COUNTIF(H17:I17,"*,"&amp;N21&amp;",*")+COUNTIF(K17:L17,N21)+COUNTIF(K17:L17,"*,"&amp;N21&amp;",*")+COUNTIF(N17:O17,N21)+COUNTIF(N17:O17,"*,"&amp;N21&amp;",*"))</f>
        <v/>
      </c>
      <c r="O24" s="21">
        <f>IF(COUNTIF(B5:C5,O21)+COUNTIF(B5:C5,"*,"&amp;O21&amp;",*")+COUNTIF(E5:F5,O21)+COUNTIF(E5:F5,"*,"&amp;O21&amp;",*")+COUNTIF(H5:I5,O21)+COUNTIF(H5:I5,"*,"&amp;O21&amp;",*")+COUNTIF(K5:L5,O21)+COUNTIF(K5:L5,"*,"&amp;O21&amp;",*")+COUNTIF(N5:O5,O21)+COUNTIF(N5:O5,"*,"&amp;O21&amp;",*")+COUNTIF(B7:C7,O21)+COUNTIF(B7:C7,"*,"&amp;O21&amp;",*")+COUNTIF(E7:F7,O21)+COUNTIF(E7:F7,"*,"&amp;O21&amp;",*")+COUNTIF(H7:I7,O21)+COUNTIF(H7:I7,"*,"&amp;O21&amp;",*")+COUNTIF(K7:L7,O21)+COUNTIF(K7:L7,"*,"&amp;O21&amp;",*")+COUNTIF(N7:O7,O21)+COUNTIF(N7:O7,"*,"&amp;O21&amp;",*")+COUNTIF(B9:C9,O21)+COUNTIF(B9:C9,"*,"&amp;O21&amp;",*")+COUNTIF(E9:F9,O21)+COUNTIF(E9:F9,"*,"&amp;O21&amp;",*")+COUNTIF(H9:I9,O21)+COUNTIF(H9:I9,"*,"&amp;O21&amp;",*")+COUNTIF(K9:L9,O21)+COUNTIF(K9:L9,"*,"&amp;O21&amp;",*")+COUNTIF(N9:O9,O21)+COUNTIF(N9:O9,"*,"&amp;O21&amp;",*")+COUNTIF(B11:C11,O21)+COUNTIF(B11:C11,"*,"&amp;O21&amp;",*")+COUNTIF(E11:F11,O21)+COUNTIF(E11:F11,"*,"&amp;O21&amp;",*")+COUNTIF(H11:I11,O21)+COUNTIF(H11:I11,"*,"&amp;O21&amp;",*")+COUNTIF(K11:L11,O21)+COUNTIF(K11:L11,"*,"&amp;O21&amp;",*")+COUNTIF(N11:O11,O21)+COUNTIF(N11:O11,"*,"&amp;O21&amp;",*")+COUNTIF(B13:C13,O21)+COUNTIF(B13:C13,"*,"&amp;O21&amp;",*")+COUNTIF(E13:F13,O21)+COUNTIF(E13:F13,"*,"&amp;O21&amp;",*")+COUNTIF(H13:I13,O21)+COUNTIF(H13:I13,"*,"&amp;O21&amp;",*")+COUNTIF(K13:L13,O21)+COUNTIF(K13:L13,"*,"&amp;O21&amp;",*")+COUNTIF(N13:O13,O21)+COUNTIF(N13:O13,"*,"&amp;O21&amp;",*")+COUNTIF(B15:C15,O21)+COUNTIF(B15:C15,"*,"&amp;O21&amp;",*")+COUNTIF(E15:F15,O21)+COUNTIF(E15:F15,"*,"&amp;O21&amp;",*")+COUNTIF(H15:I15,O21)+COUNTIF(H15:I15,"*,"&amp;O21&amp;",*")+COUNTIF(K15:L15,O21)+COUNTIF(K15:L15,"*,"&amp;O21&amp;",*")+COUNTIF(N15:O15,O21)+COUNTIF(N15:O15,"*,"&amp;O21&amp;",*")+COUNTIF(B17:C17,O21)+COUNTIF(B17:C17,"*,"&amp;O21&amp;",*")+COUNTIF(E17:F17,O21)+COUNTIF(E17:F17,"*,"&amp;O21&amp;",*")+COUNTIF(H17:I17,O21)+COUNTIF(H17:I17,"*,"&amp;O21&amp;",*")+COUNTIF(K17:L17,O21)+COUNTIF(K17:L17,"*,"&amp;O21&amp;",*")+COUNTIF(N17:O17,O21)+COUNTIF(N17:O17,"*,"&amp;O21&amp;",*")=0,"",COUNTIF(B5:C5,O21)+COUNTIF(B5:C5,"*,"&amp;O21&amp;",*")+COUNTIF(E5:F5,O21)+COUNTIF(E5:F5,"*,"&amp;O21&amp;",*")+COUNTIF(H5:I5,O21)+COUNTIF(H5:I5,"*,"&amp;O21&amp;",*")+COUNTIF(K5:L5,O21)+COUNTIF(K5:L5,"*,"&amp;O21&amp;",*")+COUNTIF(N5:O5,O21)+COUNTIF(N5:O5,"*,"&amp;O21&amp;",*")+COUNTIF(B7:C7,O21)+COUNTIF(B7:C7,"*,"&amp;O21&amp;",*")+COUNTIF(E7:F7,O21)+COUNTIF(E7:F7,"*,"&amp;O21&amp;",*")+COUNTIF(H7:I7,O21)+COUNTIF(H7:I7,"*,"&amp;O21&amp;",*")+COUNTIF(K7:L7,O21)+COUNTIF(K7:L7,"*,"&amp;O21&amp;",*")+COUNTIF(N7:O7,O21)+COUNTIF(N7:O7,"*,"&amp;O21&amp;",*")+COUNTIF(B9:C9,O21)+COUNTIF(B9:C9,"*,"&amp;O21&amp;",*")+COUNTIF(E9:F9,O21)+COUNTIF(E9:F9,"*,"&amp;O21&amp;",*")+COUNTIF(H9:I9,O21)+COUNTIF(H9:I9,"*,"&amp;O21&amp;",*")+COUNTIF(K9:L9,O21)+COUNTIF(K9:L9,"*,"&amp;O21&amp;",*")+COUNTIF(N9:O9,O21)+COUNTIF(N9:O9,"*,"&amp;O21&amp;",*")+COUNTIF(B11:C11,O21)+COUNTIF(B11:C11,"*,"&amp;O21&amp;",*")+COUNTIF(E11:F11,O21)+COUNTIF(E11:F11,"*,"&amp;O21&amp;",*")+COUNTIF(H11:I11,O21)+COUNTIF(H11:I11,"*,"&amp;O21&amp;",*")+COUNTIF(K11:L11,O21)+COUNTIF(K11:L11,"*,"&amp;O21&amp;",*")+COUNTIF(N11:O11,O21)+COUNTIF(N11:O11,"*,"&amp;O21&amp;",*")+COUNTIF(B13:C13,O21)+COUNTIF(B13:C13,"*,"&amp;O21&amp;",*")+COUNTIF(E13:F13,O21)+COUNTIF(E13:F13,"*,"&amp;O21&amp;",*")+COUNTIF(H13:I13,O21)+COUNTIF(H13:I13,"*,"&amp;O21&amp;",*")+COUNTIF(K13:L13,O21)+COUNTIF(K13:L13,"*,"&amp;O21&amp;",*")+COUNTIF(N13:O13,O21)+COUNTIF(N13:O13,"*,"&amp;O21&amp;",*")+COUNTIF(B15:C15,O21)+COUNTIF(B15:C15,"*,"&amp;O21&amp;",*")+COUNTIF(E15:F15,O21)+COUNTIF(E15:F15,"*,"&amp;O21&amp;",*")+COUNTIF(H15:I15,O21)+COUNTIF(H15:I15,"*,"&amp;O21&amp;",*")+COUNTIF(K15:L15,O21)+COUNTIF(K15:L15,"*,"&amp;O21&amp;",*")+COUNTIF(N15:O15,O21)+COUNTIF(N15:O15,"*,"&amp;O21&amp;",*")+COUNTIF(B17:C17,O21)+COUNTIF(B17:C17,"*,"&amp;O21&amp;",*")+COUNTIF(E17:F17,O21)+COUNTIF(E17:F17,"*,"&amp;O21&amp;",*")+COUNTIF(H17:I17,O21)+COUNTIF(H17:I17,"*,"&amp;O21&amp;",*")+COUNTIF(K17:L17,O21)+COUNTIF(K17:L17,"*,"&amp;O21&amp;",*")+COUNTIF(N17:O17,O21)+COUNTIF(N17:O17,"*,"&amp;O21&amp;",*"))</f>
        <v/>
      </c>
      <c r="P24" s="22">
        <f>IF(SUM(B24:O24)=0,"",SUM(B24:O24))</f>
        <v/>
      </c>
    </row>
    <row r="25" spans="1:16" ht="13.5" customHeight="1" x14ac:dyDescent="0.2">
      <c r="A25" s="23" t="s">
        <v>52</v>
      </c>
      <c r="B25" s="26"/>
      <c r="C25" s="26"/>
      <c r="D25" s="26"/>
      <c r="E25" s="26"/>
      <c r="F25" s="26"/>
      <c r="G25" s="26"/>
      <c r="H25" s="26"/>
      <c r="I25" s="26"/>
      <c r="J25" s="26"/>
      <c r="K25" s="26"/>
      <c r="L25" s="26"/>
      <c r="M25" s="26"/>
      <c r="N25" s="26"/>
      <c r="O25" s="24"/>
      <c r="P25" s="18">
        <f>IF(SUM(B25:O25)=0,"",SUM(B25:O25))</f>
        <v/>
      </c>
    </row>
  </sheetData>
  <sheetProtection sheet="1" objects="1" scenarios="1"/>
  <mergeCells count="104">
    <mergeCell ref="N19:P19"/>
    <mergeCell ref="A23:A24"/>
    <mergeCell ref="N17:O17"/>
    <mergeCell ref="B18:D18"/>
    <mergeCell ref="E18:G18"/>
    <mergeCell ref="H18:J18"/>
    <mergeCell ref="K18:M18"/>
    <mergeCell ref="N18:P18"/>
    <mergeCell ref="A17:A18"/>
    <mergeCell ref="B17:C17"/>
    <mergeCell ref="E17:F17"/>
    <mergeCell ref="H17:I17"/>
    <mergeCell ref="K17:L17"/>
    <mergeCell ref="B19:D19"/>
    <mergeCell ref="E19:G19"/>
    <mergeCell ref="H19:J19"/>
    <mergeCell ref="K19:M19"/>
    <mergeCell ref="A15:A16"/>
    <mergeCell ref="B15:C15"/>
    <mergeCell ref="E15:F15"/>
    <mergeCell ref="H15:I15"/>
    <mergeCell ref="K15:L15"/>
    <mergeCell ref="N15:O15"/>
    <mergeCell ref="B16:D16"/>
    <mergeCell ref="E16:G16"/>
    <mergeCell ref="H16:J16"/>
    <mergeCell ref="K16:M16"/>
    <mergeCell ref="N16:P16"/>
    <mergeCell ref="A13:A14"/>
    <mergeCell ref="B13:C13"/>
    <mergeCell ref="E13:F13"/>
    <mergeCell ref="H13:I13"/>
    <mergeCell ref="K13:L13"/>
    <mergeCell ref="N13:O13"/>
    <mergeCell ref="B14:D14"/>
    <mergeCell ref="E14:G14"/>
    <mergeCell ref="H14:J14"/>
    <mergeCell ref="K14:M14"/>
    <mergeCell ref="N14:P14"/>
    <mergeCell ref="A11:A12"/>
    <mergeCell ref="B11:C11"/>
    <mergeCell ref="E11:F11"/>
    <mergeCell ref="H11:I11"/>
    <mergeCell ref="K11:L11"/>
    <mergeCell ref="N11:O11"/>
    <mergeCell ref="B12:D12"/>
    <mergeCell ref="E12:G12"/>
    <mergeCell ref="H12:J12"/>
    <mergeCell ref="K12:M12"/>
    <mergeCell ref="N12:P12"/>
    <mergeCell ref="N8:P8"/>
    <mergeCell ref="A9:A10"/>
    <mergeCell ref="B9:C9"/>
    <mergeCell ref="E9:F9"/>
    <mergeCell ref="H9:I9"/>
    <mergeCell ref="K9:L9"/>
    <mergeCell ref="N9:O9"/>
    <mergeCell ref="B10:D10"/>
    <mergeCell ref="E10:G10"/>
    <mergeCell ref="H10:J10"/>
    <mergeCell ref="A7:A8"/>
    <mergeCell ref="B7:C7"/>
    <mergeCell ref="E7:F7"/>
    <mergeCell ref="H7:I7"/>
    <mergeCell ref="K7:L7"/>
    <mergeCell ref="N7:O7"/>
    <mergeCell ref="B8:D8"/>
    <mergeCell ref="E8:G8"/>
    <mergeCell ref="H8:J8"/>
    <mergeCell ref="K8:M8"/>
    <mergeCell ref="K10:M10"/>
    <mergeCell ref="N10:P10"/>
    <mergeCell ref="A5:A6"/>
    <mergeCell ref="B5:C5"/>
    <mergeCell ref="E5:F5"/>
    <mergeCell ref="H5:I5"/>
    <mergeCell ref="K5:L5"/>
    <mergeCell ref="N2:P2"/>
    <mergeCell ref="B3:D3"/>
    <mergeCell ref="E3:G3"/>
    <mergeCell ref="H3:J3"/>
    <mergeCell ref="K3:M3"/>
    <mergeCell ref="N3:P3"/>
    <mergeCell ref="N5:O5"/>
    <mergeCell ref="B6:D6"/>
    <mergeCell ref="E6:G6"/>
    <mergeCell ref="H6:J6"/>
    <mergeCell ref="K6:M6"/>
    <mergeCell ref="N6:P6"/>
    <mergeCell ref="B4:D4"/>
    <mergeCell ref="E4:G4"/>
    <mergeCell ref="H4:J4"/>
    <mergeCell ref="K4:M4"/>
    <mergeCell ref="N4:P4"/>
    <mergeCell ref="A1:G1"/>
    <mergeCell ref="I1:J1"/>
    <mergeCell ref="K1:L1"/>
    <mergeCell ref="M1:N1"/>
    <mergeCell ref="O1:P1"/>
    <mergeCell ref="A2:A3"/>
    <mergeCell ref="B2:D2"/>
    <mergeCell ref="E2:G2"/>
    <mergeCell ref="H2:J2"/>
    <mergeCell ref="K2:M2"/>
  </mergeCells>
  <phoneticPr fontId="5"/>
  <dataValidations count="1">
    <dataValidation type="list" allowBlank="1" showInputMessage="1" sqref="D5 P17 M17 J17 G17 D17 P15 M15 J15 G15 D15 P13 M13 J13 G13 D13 P11 M11 J11 G11 D11 P9 M9 J9 G9 D9 P7 M7 J7 G7 D7 P5 M5 J5 G5" xr:uid="{848CC0BE-398F-47F5-B889-49AF7E4608B6}">
      <formula1>"×,月1,月2,月3,月4,月5,月6,月7,火1,火2,火3,火4,火5,火6,火7,水1,水2,水3,水4,水5,水6,水7,木1,木2,木3,木4,木5,木6,木7,金1,金2,金3,金4,金5,金6,金7"</formula1>
    </dataValidation>
  </dataValidations>
  <printOptions horizontalCentered="1"/>
  <pageMargins left="0.78740157480314965" right="0.78740157480314965" top="0.78740157480314965" bottom="0.78740157480314965" header="0" footer="0"/>
  <pageSetup paperSize="9" scale="93"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tn_0">
              <controlPr defaultSize="0" print="0" autoFill="0" autoPict="0" macro="[0]!ボタン_新しい週">
                <anchor moveWithCells="1" sizeWithCells="1">
                  <from>
                    <xdr:col>17</xdr:col>
                    <xdr:colOff>60960</xdr:colOff>
                    <xdr:row>3</xdr:row>
                    <xdr:rowOff>30480</xdr:rowOff>
                  </from>
                  <to>
                    <xdr:col>18</xdr:col>
                    <xdr:colOff>533400</xdr:colOff>
                    <xdr:row>3</xdr:row>
                    <xdr:rowOff>335280</xdr:rowOff>
                  </to>
                </anchor>
              </controlPr>
            </control>
          </mc:Choice>
        </mc:AlternateContent>
        <mc:AlternateContent xmlns:mc="http://schemas.openxmlformats.org/markup-compatibility/2006">
          <mc:Choice Requires="x14">
            <control shapeId="33794" r:id="rId5" name="Btn_1">
              <controlPr defaultSize="0" print="0" autoFill="0" autoPict="0" macro="[0]!ボタン_時間割展開">
                <anchor moveWithCells="1" sizeWithCells="1">
                  <from>
                    <xdr:col>17</xdr:col>
                    <xdr:colOff>60960</xdr:colOff>
                    <xdr:row>3</xdr:row>
                    <xdr:rowOff>441960</xdr:rowOff>
                  </from>
                  <to>
                    <xdr:col>18</xdr:col>
                    <xdr:colOff>533400</xdr:colOff>
                    <xdr:row>4</xdr:row>
                    <xdr:rowOff>45720</xdr:rowOff>
                  </to>
                </anchor>
              </controlPr>
            </control>
          </mc:Choice>
        </mc:AlternateContent>
        <mc:AlternateContent xmlns:mc="http://schemas.openxmlformats.org/markup-compatibility/2006">
          <mc:Choice Requires="x14">
            <control shapeId="33795" r:id="rId6" name="Btn_2">
              <controlPr defaultSize="0" print="0" autoFill="0" autoPict="0" macro="[0]!ボタン_累計更新">
                <anchor moveWithCells="1" sizeWithCells="1">
                  <from>
                    <xdr:col>17</xdr:col>
                    <xdr:colOff>60960</xdr:colOff>
                    <xdr:row>4</xdr:row>
                    <xdr:rowOff>144780</xdr:rowOff>
                  </from>
                  <to>
                    <xdr:col>18</xdr:col>
                    <xdr:colOff>533400</xdr:colOff>
                    <xdr:row>5</xdr:row>
                    <xdr:rowOff>220980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xr:uid="{98B775D9-0D81-460D-A7FC-C8454356B005}">
          <x14:formula1>
            <xm:f>基本設定!$B$6:$B$20</xm:f>
          </x14:formula1>
          <xm:sqref>B5 N19 K19 H19 E19 B19 N17 K17 H17 E17 B17 N15 K15 H15 E15 B15 N13 K13 H13 E13 B13 N11 K11 H11 E11 B11 N9 K9 H9 E9 B9 N7 K7 H7 E7 B7 N5 K5 H5 E5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A05BD-BADD-44DE-8F7E-1ADA030D0500}">
  <sheetPr codeName="Sheet18">
    <tabColor rgb="FFC0392B"/>
    <pageSetUpPr fitToPage="1"/>
  </sheetPr>
  <dimension ref="A1:P25"/>
  <sheetViews>
    <sheetView workbookViewId="0">
      <selection activeCell="B15" sqref="B15:C15"/>
    </sheetView>
  </sheetViews>
  <sheetFormatPr defaultColWidth="8.77734375" defaultRowHeight="13.2" x14ac:dyDescent="0.2"/>
  <cols>
    <col min="1" max="1" width="5.44140625" customWidth="1"/>
    <col min="2" max="16" width="5.77734375" customWidth="1"/>
  </cols>
  <sheetData>
    <row r="1" spans="1:16" ht="50.1" customHeight="1" x14ac:dyDescent="0.2">
      <c r="A1" s="51" t="s">
        <v>34</v>
      </c>
      <c r="B1" s="52"/>
      <c r="C1" s="52"/>
      <c r="D1" s="52"/>
      <c r="E1" s="52"/>
      <c r="F1" s="52"/>
      <c r="G1" s="52"/>
      <c r="H1" s="8" t="s">
        <v>35</v>
      </c>
      <c r="I1" s="53" t="s">
        <v>36</v>
      </c>
      <c r="J1" s="54"/>
      <c r="K1" s="53" t="s">
        <v>37</v>
      </c>
      <c r="L1" s="54"/>
      <c r="M1" s="53" t="s">
        <v>38</v>
      </c>
      <c r="N1" s="54"/>
      <c r="O1" s="53" t="s">
        <v>39</v>
      </c>
      <c r="P1" s="54"/>
    </row>
    <row r="2" spans="1:16" ht="15.6" customHeight="1" x14ac:dyDescent="0.2">
      <c r="A2" s="55" t="s">
        <v>40</v>
      </c>
      <c r="B2" s="57" t="s">
        <v>29</v>
      </c>
      <c r="C2" s="57"/>
      <c r="D2" s="57"/>
      <c r="E2" s="59" t="s">
        <v>30</v>
      </c>
      <c r="F2" s="59"/>
      <c r="G2" s="59"/>
      <c r="H2" s="45" t="s">
        <v>31</v>
      </c>
      <c r="I2" s="45"/>
      <c r="J2" s="45"/>
      <c r="K2" s="47" t="s">
        <v>32</v>
      </c>
      <c r="L2" s="47"/>
      <c r="M2" s="47"/>
      <c r="N2" s="49" t="s">
        <v>33</v>
      </c>
      <c r="O2" s="49"/>
      <c r="P2" s="49"/>
    </row>
    <row r="3" spans="1:16" ht="15" customHeight="1" x14ac:dyDescent="0.2">
      <c r="A3" s="56"/>
      <c r="B3" s="58" t="s">
        <v>41</v>
      </c>
      <c r="C3" s="58"/>
      <c r="D3" s="58"/>
      <c r="E3" s="60" t="s">
        <v>42</v>
      </c>
      <c r="F3" s="60"/>
      <c r="G3" s="60"/>
      <c r="H3" s="46" t="s">
        <v>43</v>
      </c>
      <c r="I3" s="46"/>
      <c r="J3" s="46"/>
      <c r="K3" s="48" t="s">
        <v>44</v>
      </c>
      <c r="L3" s="48"/>
      <c r="M3" s="48"/>
      <c r="N3" s="50" t="s">
        <v>45</v>
      </c>
      <c r="O3" s="50"/>
      <c r="P3" s="50"/>
    </row>
    <row r="4" spans="1:16" ht="54.9" customHeight="1" x14ac:dyDescent="0.2">
      <c r="A4" s="9" t="s">
        <v>46</v>
      </c>
      <c r="B4" s="40"/>
      <c r="C4" s="40"/>
      <c r="D4" s="40"/>
      <c r="E4" s="41"/>
      <c r="F4" s="41"/>
      <c r="G4" s="41"/>
      <c r="H4" s="42"/>
      <c r="I4" s="42"/>
      <c r="J4" s="42"/>
      <c r="K4" s="43"/>
      <c r="L4" s="43"/>
      <c r="M4" s="43"/>
      <c r="N4" s="44"/>
      <c r="O4" s="44"/>
      <c r="P4" s="44"/>
    </row>
    <row r="5" spans="1:16" ht="18" customHeight="1" x14ac:dyDescent="0.2">
      <c r="A5" s="39">
        <v>1</v>
      </c>
      <c r="B5" s="37"/>
      <c r="C5" s="37"/>
      <c r="D5" s="25"/>
      <c r="E5" s="37"/>
      <c r="F5" s="37"/>
      <c r="G5" s="25"/>
      <c r="H5" s="37"/>
      <c r="I5" s="37"/>
      <c r="J5" s="25"/>
      <c r="K5" s="37"/>
      <c r="L5" s="37"/>
      <c r="M5" s="25"/>
      <c r="N5" s="37"/>
      <c r="O5" s="37"/>
      <c r="P5" s="25"/>
    </row>
    <row r="6" spans="1:16" ht="62.1" customHeight="1" x14ac:dyDescent="0.2">
      <c r="A6" s="39"/>
      <c r="B6" s="38"/>
      <c r="C6" s="38"/>
      <c r="D6" s="38"/>
      <c r="E6" s="38"/>
      <c r="F6" s="38"/>
      <c r="G6" s="38"/>
      <c r="H6" s="38"/>
      <c r="I6" s="38"/>
      <c r="J6" s="38"/>
      <c r="K6" s="38"/>
      <c r="L6" s="38"/>
      <c r="M6" s="38"/>
      <c r="N6" s="38"/>
      <c r="O6" s="38"/>
      <c r="P6" s="38"/>
    </row>
    <row r="7" spans="1:16" ht="18" customHeight="1" x14ac:dyDescent="0.2">
      <c r="A7" s="39">
        <v>2</v>
      </c>
      <c r="B7" s="37"/>
      <c r="C7" s="37"/>
      <c r="D7" s="25"/>
      <c r="E7" s="37"/>
      <c r="F7" s="37"/>
      <c r="G7" s="25"/>
      <c r="H7" s="37"/>
      <c r="I7" s="37"/>
      <c r="J7" s="25"/>
      <c r="K7" s="37"/>
      <c r="L7" s="37"/>
      <c r="M7" s="25"/>
      <c r="N7" s="37"/>
      <c r="O7" s="37"/>
      <c r="P7" s="25"/>
    </row>
    <row r="8" spans="1:16" ht="62.1" customHeight="1" x14ac:dyDescent="0.2">
      <c r="A8" s="39"/>
      <c r="B8" s="38"/>
      <c r="C8" s="38"/>
      <c r="D8" s="38"/>
      <c r="E8" s="38"/>
      <c r="F8" s="38"/>
      <c r="G8" s="38"/>
      <c r="H8" s="38"/>
      <c r="I8" s="38"/>
      <c r="J8" s="38"/>
      <c r="K8" s="38"/>
      <c r="L8" s="38"/>
      <c r="M8" s="38"/>
      <c r="N8" s="38"/>
      <c r="O8" s="38"/>
      <c r="P8" s="38"/>
    </row>
    <row r="9" spans="1:16" ht="18" customHeight="1" x14ac:dyDescent="0.2">
      <c r="A9" s="39">
        <v>3</v>
      </c>
      <c r="B9" s="37"/>
      <c r="C9" s="37"/>
      <c r="D9" s="25"/>
      <c r="E9" s="37"/>
      <c r="F9" s="37"/>
      <c r="G9" s="25"/>
      <c r="H9" s="37"/>
      <c r="I9" s="37"/>
      <c r="J9" s="25"/>
      <c r="K9" s="37"/>
      <c r="L9" s="37"/>
      <c r="M9" s="25"/>
      <c r="N9" s="37"/>
      <c r="O9" s="37"/>
      <c r="P9" s="25"/>
    </row>
    <row r="10" spans="1:16" ht="62.1" customHeight="1" x14ac:dyDescent="0.2">
      <c r="A10" s="39"/>
      <c r="B10" s="38"/>
      <c r="C10" s="38"/>
      <c r="D10" s="38"/>
      <c r="E10" s="38"/>
      <c r="F10" s="38"/>
      <c r="G10" s="38"/>
      <c r="H10" s="38"/>
      <c r="I10" s="38"/>
      <c r="J10" s="38"/>
      <c r="K10" s="38"/>
      <c r="L10" s="38"/>
      <c r="M10" s="38"/>
      <c r="N10" s="38"/>
      <c r="O10" s="38"/>
      <c r="P10" s="38"/>
    </row>
    <row r="11" spans="1:16" ht="18" customHeight="1" x14ac:dyDescent="0.2">
      <c r="A11" s="39">
        <v>4</v>
      </c>
      <c r="B11" s="37"/>
      <c r="C11" s="37"/>
      <c r="D11" s="25"/>
      <c r="E11" s="37"/>
      <c r="F11" s="37"/>
      <c r="G11" s="25"/>
      <c r="H11" s="37"/>
      <c r="I11" s="37"/>
      <c r="J11" s="25"/>
      <c r="K11" s="37"/>
      <c r="L11" s="37"/>
      <c r="M11" s="25"/>
      <c r="N11" s="37"/>
      <c r="O11" s="37"/>
      <c r="P11" s="25"/>
    </row>
    <row r="12" spans="1:16" ht="62.1" customHeight="1" x14ac:dyDescent="0.2">
      <c r="A12" s="39"/>
      <c r="B12" s="38"/>
      <c r="C12" s="38"/>
      <c r="D12" s="38"/>
      <c r="E12" s="38"/>
      <c r="F12" s="38"/>
      <c r="G12" s="38"/>
      <c r="H12" s="38"/>
      <c r="I12" s="38"/>
      <c r="J12" s="38"/>
      <c r="K12" s="38"/>
      <c r="L12" s="38"/>
      <c r="M12" s="38"/>
      <c r="N12" s="38"/>
      <c r="O12" s="38"/>
      <c r="P12" s="38"/>
    </row>
    <row r="13" spans="1:16" ht="18" customHeight="1" x14ac:dyDescent="0.2">
      <c r="A13" s="39">
        <v>5</v>
      </c>
      <c r="B13" s="37"/>
      <c r="C13" s="37"/>
      <c r="D13" s="25"/>
      <c r="E13" s="37"/>
      <c r="F13" s="37"/>
      <c r="G13" s="25"/>
      <c r="H13" s="37"/>
      <c r="I13" s="37"/>
      <c r="J13" s="25"/>
      <c r="K13" s="37"/>
      <c r="L13" s="37"/>
      <c r="M13" s="25"/>
      <c r="N13" s="37"/>
      <c r="O13" s="37"/>
      <c r="P13" s="25"/>
    </row>
    <row r="14" spans="1:16" ht="62.1" customHeight="1" x14ac:dyDescent="0.2">
      <c r="A14" s="39"/>
      <c r="B14" s="38"/>
      <c r="C14" s="38"/>
      <c r="D14" s="38"/>
      <c r="E14" s="38"/>
      <c r="F14" s="38"/>
      <c r="G14" s="38"/>
      <c r="H14" s="38"/>
      <c r="I14" s="38"/>
      <c r="J14" s="38"/>
      <c r="K14" s="38"/>
      <c r="L14" s="38"/>
      <c r="M14" s="38"/>
      <c r="N14" s="38"/>
      <c r="O14" s="38"/>
      <c r="P14" s="38"/>
    </row>
    <row r="15" spans="1:16" ht="18" customHeight="1" x14ac:dyDescent="0.2">
      <c r="A15" s="39">
        <v>6</v>
      </c>
      <c r="B15" s="37"/>
      <c r="C15" s="37"/>
      <c r="D15" s="25"/>
      <c r="E15" s="37"/>
      <c r="F15" s="37"/>
      <c r="G15" s="25"/>
      <c r="H15" s="37"/>
      <c r="I15" s="37"/>
      <c r="J15" s="25"/>
      <c r="K15" s="37"/>
      <c r="L15" s="37"/>
      <c r="M15" s="25"/>
      <c r="N15" s="37"/>
      <c r="O15" s="37"/>
      <c r="P15" s="25"/>
    </row>
    <row r="16" spans="1:16" ht="62.1" customHeight="1" x14ac:dyDescent="0.2">
      <c r="A16" s="39"/>
      <c r="B16" s="38"/>
      <c r="C16" s="38"/>
      <c r="D16" s="38"/>
      <c r="E16" s="38"/>
      <c r="F16" s="38"/>
      <c r="G16" s="38"/>
      <c r="H16" s="38"/>
      <c r="I16" s="38"/>
      <c r="J16" s="38"/>
      <c r="K16" s="38"/>
      <c r="L16" s="38"/>
      <c r="M16" s="38"/>
      <c r="N16" s="38"/>
      <c r="O16" s="38"/>
      <c r="P16" s="38"/>
    </row>
    <row r="17" spans="1:16" ht="18" customHeight="1" x14ac:dyDescent="0.2">
      <c r="A17" s="39">
        <v>7</v>
      </c>
      <c r="B17" s="37"/>
      <c r="C17" s="37"/>
      <c r="D17" s="25"/>
      <c r="E17" s="37"/>
      <c r="F17" s="37"/>
      <c r="G17" s="25"/>
      <c r="H17" s="37"/>
      <c r="I17" s="37"/>
      <c r="J17" s="25"/>
      <c r="K17" s="37"/>
      <c r="L17" s="37"/>
      <c r="M17" s="25"/>
      <c r="N17" s="37"/>
      <c r="O17" s="37"/>
      <c r="P17" s="25"/>
    </row>
    <row r="18" spans="1:16" ht="62.1" customHeight="1" x14ac:dyDescent="0.2">
      <c r="A18" s="39"/>
      <c r="B18" s="38"/>
      <c r="C18" s="38"/>
      <c r="D18" s="38"/>
      <c r="E18" s="38"/>
      <c r="F18" s="38"/>
      <c r="G18" s="38"/>
      <c r="H18" s="38"/>
      <c r="I18" s="38"/>
      <c r="J18" s="38"/>
      <c r="K18" s="38"/>
      <c r="L18" s="38"/>
      <c r="M18" s="38"/>
      <c r="N18" s="38"/>
      <c r="O18" s="38"/>
      <c r="P18" s="38"/>
    </row>
    <row r="19" spans="1:16" ht="54.9" customHeight="1" x14ac:dyDescent="0.2">
      <c r="A19" s="10" t="s">
        <v>47</v>
      </c>
      <c r="B19" s="34"/>
      <c r="C19" s="34"/>
      <c r="D19" s="34"/>
      <c r="E19" s="34"/>
      <c r="F19" s="34"/>
      <c r="G19" s="34"/>
      <c r="H19" s="34"/>
      <c r="I19" s="34"/>
      <c r="J19" s="34"/>
      <c r="K19" s="34"/>
      <c r="L19" s="34"/>
      <c r="M19" s="34"/>
      <c r="N19" s="34"/>
      <c r="O19" s="34"/>
      <c r="P19" s="34"/>
    </row>
    <row r="20" spans="1:16" hidden="1" x14ac:dyDescent="0.2">
      <c r="A20" s="11"/>
      <c r="B20" s="11"/>
      <c r="C20" s="11"/>
      <c r="D20" s="11"/>
      <c r="E20" s="11"/>
      <c r="F20" s="11"/>
      <c r="G20" s="11"/>
      <c r="H20" s="11"/>
      <c r="I20" s="11"/>
      <c r="J20" s="11"/>
      <c r="K20" s="11"/>
      <c r="L20" s="11"/>
      <c r="M20" s="11"/>
      <c r="N20" s="11"/>
      <c r="O20" s="11"/>
      <c r="P20" s="11"/>
    </row>
    <row r="21" spans="1:16" ht="13.5" customHeight="1" x14ac:dyDescent="0.2">
      <c r="A21" s="12" t="s">
        <v>48</v>
      </c>
      <c r="B21" s="12">
        <f>IF(基本設定!B6="","",基本設定!B6)</f>
      </c>
      <c r="C21" s="12">
        <f>IF(基本設定!B7="","",基本設定!B7)</f>
      </c>
      <c r="D21" s="12">
        <f>IF(基本設定!B8="","",基本設定!B8)</f>
      </c>
      <c r="E21" s="12">
        <f>IF(基本設定!B9="","",基本設定!B9)</f>
      </c>
      <c r="F21" s="12">
        <f>IF(基本設定!B10="","",基本設定!B10)</f>
      </c>
      <c r="G21" s="12">
        <f>IF(基本設定!B11="","",基本設定!B11)</f>
      </c>
      <c r="H21" s="12"/>
      <c r="I21" s="12"/>
      <c r="J21" s="12"/>
      <c r="K21" s="12"/>
      <c r="L21" s="12"/>
      <c r="M21" s="13" t="s">
        <v>53</v>
      </c>
      <c r="N21" s="12" t="s">
        <v>20</v>
      </c>
      <c r="O21" s="12" t="s">
        <v>22</v>
      </c>
      <c r="P21" s="14" t="s">
        <v>49</v>
      </c>
    </row>
    <row r="22" spans="1:16" ht="13.5" customHeight="1" x14ac:dyDescent="0.2">
      <c r="A22" s="15" t="s">
        <v>50</v>
      </c>
      <c r="B22" s="16">
        <f>IF(B21="","",IFERROR(VALUE(VLOOKUP(B21,基本設定!$A$23:$B$35,2,FALSE())),""))</f>
      </c>
      <c r="C22" s="16">
        <f>IF(C21="","",IFERROR(VALUE(VLOOKUP(C21,基本設定!$A$23:$B$35,2,FALSE())),""))</f>
      </c>
      <c r="D22" s="16">
        <f>IF(D21="","",IFERROR(VALUE(VLOOKUP(D21,基本設定!$A$23:$B$35,2,FALSE())),""))</f>
      </c>
      <c r="E22" s="16">
        <f>IF(E21="","",IFERROR(VALUE(VLOOKUP(E21,基本設定!$A$23:$B$35,2,FALSE())),""))</f>
      </c>
      <c r="F22" s="16">
        <f>IF(F21="","",IFERROR(VALUE(VLOOKUP(F21,基本設定!$A$23:$B$35,2,FALSE())),""))</f>
      </c>
      <c r="G22" s="16">
        <f>IF(G21="","",IFERROR(VALUE(VLOOKUP(G21,基本設定!$A$23:$B$35,2,FALSE())),""))</f>
      </c>
      <c r="H22" s="17"/>
      <c r="I22" s="17"/>
      <c r="J22" s="17"/>
      <c r="K22" s="17"/>
      <c r="L22" s="17"/>
      <c r="M22" s="17">
        <v>1</v>
      </c>
      <c r="N22" s="17">
        <f>IF(N21="","",IFERROR(VALUE(VLOOKUP(N21,基本設定!$A$23:$B$35,2,FALSE())),""))</f>
      </c>
      <c r="O22" s="17">
        <f>IF(O21="","",IFERROR(VALUE(VLOOKUP(O21,基本設定!$A$23:$B$35,2,FALSE())),""))</f>
      </c>
      <c r="P22" s="18">
        <f>IF(SUM(B22:O22)=0,"",SUM(B22:O22))</f>
      </c>
    </row>
    <row r="23" spans="1:16" ht="13.5" customHeight="1" x14ac:dyDescent="0.2">
      <c r="A23" s="35" t="s">
        <v>51</v>
      </c>
      <c r="B23" s="19">
        <f>IF(B21="","",IF(B24="","",B24-(SUMPRODUCT((B5:C5=B21)*(D5="×"))+SUMPRODUCT((E5:F5=B21)*(G5="×"))+SUMPRODUCT((H5:I5=B21)*(J5="×"))+SUMPRODUCT((K5:L5=B21)*(M5="×"))+SUMPRODUCT((N5:O5=B21)*(P5="×"))+SUMPRODUCT((B7:C7=B21)*(D7="×"))+SUMPRODUCT((E7:F7=B21)*(G7="×"))+SUMPRODUCT((H7:I7=B21)*(J7="×"))+SUMPRODUCT((K7:L7=B21)*(M7="×"))+SUMPRODUCT((N7:O7=B21)*(P7="×"))+SUMPRODUCT((B9:C9=B21)*(D9="×"))+SUMPRODUCT((E9:F9=B21)*(G9="×"))+SUMPRODUCT((H9:I9=B21)*(J9="×"))+SUMPRODUCT((K9:L9=B21)*(M9="×"))+SUMPRODUCT((N9:O9=B21)*(P9="×"))+SUMPRODUCT((B11:C11=B21)*(D11="×"))+SUMPRODUCT((E11:F11=B21)*(G11="×"))+SUMPRODUCT((H11:I11=B21)*(J11="×"))+SUMPRODUCT((K11:L11=B21)*(M11="×"))+SUMPRODUCT((N11:O11=B21)*(P11="×"))+SUMPRODUCT((B13:C13=B21)*(D13="×"))+SUMPRODUCT((E13:F13=B21)*(G13="×"))+SUMPRODUCT((H13:I13=B21)*(J13="×"))+SUMPRODUCT((K13:L13=B21)*(M13="×"))+SUMPRODUCT((N13:O13=B21)*(P13="×"))+SUMPRODUCT((B15:C15=B21)*(D15="×"))+SUMPRODUCT((E15:F15=B21)*(G15="×"))+SUMPRODUCT((H15:I15=B21)*(J15="×"))+SUMPRODUCT((K15:L15=B21)*(M15="×"))+SUMPRODUCT((N15:O15=B21)*(P15="×"))+SUMPRODUCT((B17:C17=B21)*(D17="×"))+SUMPRODUCT((E17:F17=B21)*(G17="×"))+SUMPRODUCT((H17:I17=B21)*(J17="×"))+SUMPRODUCT((K17:L17=B21)*(M17="×"))+SUMPRODUCT((N17:O17=B21)*(P17="×")))))</f>
        <v/>
      </c>
      <c r="C23" s="19">
        <f>IF(C21="","",IF(C24="","",C24-(SUMPRODUCT((B5:C5=C21)*(D5="×"))+SUMPRODUCT((E5:F5=C21)*(G5="×"))+SUMPRODUCT((H5:I5=C21)*(J5="×"))+SUMPRODUCT((K5:L5=C21)*(M5="×"))+SUMPRODUCT((N5:O5=C21)*(P5="×"))+SUMPRODUCT((B7:C7=C21)*(D7="×"))+SUMPRODUCT((E7:F7=C21)*(G7="×"))+SUMPRODUCT((H7:I7=C21)*(J7="×"))+SUMPRODUCT((K7:L7=C21)*(M7="×"))+SUMPRODUCT((N7:O7=C21)*(P7="×"))+SUMPRODUCT((B9:C9=C21)*(D9="×"))+SUMPRODUCT((E9:F9=C21)*(G9="×"))+SUMPRODUCT((H9:I9=C21)*(J9="×"))+SUMPRODUCT((K9:L9=C21)*(M9="×"))+SUMPRODUCT((N9:O9=C21)*(P9="×"))+SUMPRODUCT((B11:C11=C21)*(D11="×"))+SUMPRODUCT((E11:F11=C21)*(G11="×"))+SUMPRODUCT((H11:I11=C21)*(J11="×"))+SUMPRODUCT((K11:L11=C21)*(M11="×"))+SUMPRODUCT((N11:O11=C21)*(P11="×"))+SUMPRODUCT((B13:C13=C21)*(D13="×"))+SUMPRODUCT((E13:F13=C21)*(G13="×"))+SUMPRODUCT((H13:I13=C21)*(J13="×"))+SUMPRODUCT((K13:L13=C21)*(M13="×"))+SUMPRODUCT((N13:O13=C21)*(P13="×"))+SUMPRODUCT((B15:C15=C21)*(D15="×"))+SUMPRODUCT((E15:F15=C21)*(G15="×"))+SUMPRODUCT((H15:I15=C21)*(J15="×"))+SUMPRODUCT((K15:L15=C21)*(M15="×"))+SUMPRODUCT((N15:O15=C21)*(P15="×"))+SUMPRODUCT((B17:C17=C21)*(D17="×"))+SUMPRODUCT((E17:F17=C21)*(G17="×"))+SUMPRODUCT((H17:I17=C21)*(J17="×"))+SUMPRODUCT((K17:L17=C21)*(M17="×"))+SUMPRODUCT((N17:O17=C21)*(P17="×")))))</f>
        <v/>
      </c>
      <c r="D23" s="19">
        <f>IF(D21="","",IF(D24="","",D24-(SUMPRODUCT((B5:C5=D21)*(D5="×"))+SUMPRODUCT((E5:F5=D21)*(G5="×"))+SUMPRODUCT((H5:I5=D21)*(J5="×"))+SUMPRODUCT((K5:L5=D21)*(M5="×"))+SUMPRODUCT((N5:O5=D21)*(P5="×"))+SUMPRODUCT((B7:C7=D21)*(D7="×"))+SUMPRODUCT((E7:F7=D21)*(G7="×"))+SUMPRODUCT((H7:I7=D21)*(J7="×"))+SUMPRODUCT((K7:L7=D21)*(M7="×"))+SUMPRODUCT((N7:O7=D21)*(P7="×"))+SUMPRODUCT((B9:C9=D21)*(D9="×"))+SUMPRODUCT((E9:F9=D21)*(G9="×"))+SUMPRODUCT((H9:I9=D21)*(J9="×"))+SUMPRODUCT((K9:L9=D21)*(M9="×"))+SUMPRODUCT((N9:O9=D21)*(P9="×"))+SUMPRODUCT((B11:C11=D21)*(D11="×"))+SUMPRODUCT((E11:F11=D21)*(G11="×"))+SUMPRODUCT((H11:I11=D21)*(J11="×"))+SUMPRODUCT((K11:L11=D21)*(M11="×"))+SUMPRODUCT((N11:O11=D21)*(P11="×"))+SUMPRODUCT((B13:C13=D21)*(D13="×"))+SUMPRODUCT((E13:F13=D21)*(G13="×"))+SUMPRODUCT((H13:I13=D21)*(J13="×"))+SUMPRODUCT((K13:L13=D21)*(M13="×"))+SUMPRODUCT((N13:O13=D21)*(P13="×"))+SUMPRODUCT((B15:C15=D21)*(D15="×"))+SUMPRODUCT((E15:F15=D21)*(G15="×"))+SUMPRODUCT((H15:I15=D21)*(J15="×"))+SUMPRODUCT((K15:L15=D21)*(M15="×"))+SUMPRODUCT((N15:O15=D21)*(P15="×"))+SUMPRODUCT((B17:C17=D21)*(D17="×"))+SUMPRODUCT((E17:F17=D21)*(G17="×"))+SUMPRODUCT((H17:I17=D21)*(J17="×"))+SUMPRODUCT((K17:L17=D21)*(M17="×"))+SUMPRODUCT((N17:O17=D21)*(P17="×")))))</f>
        <v/>
      </c>
      <c r="E23" s="19">
        <f>IF(E21="","",IF(E24="","",E24-(SUMPRODUCT((B5:C5=E21)*(D5="×"))+SUMPRODUCT((E5:F5=E21)*(G5="×"))+SUMPRODUCT((H5:I5=E21)*(J5="×"))+SUMPRODUCT((K5:L5=E21)*(M5="×"))+SUMPRODUCT((N5:O5=E21)*(P5="×"))+SUMPRODUCT((B7:C7=E21)*(D7="×"))+SUMPRODUCT((E7:F7=E21)*(G7="×"))+SUMPRODUCT((H7:I7=E21)*(J7="×"))+SUMPRODUCT((K7:L7=E21)*(M7="×"))+SUMPRODUCT((N7:O7=E21)*(P7="×"))+SUMPRODUCT((B9:C9=E21)*(D9="×"))+SUMPRODUCT((E9:F9=E21)*(G9="×"))+SUMPRODUCT((H9:I9=E21)*(J9="×"))+SUMPRODUCT((K9:L9=E21)*(M9="×"))+SUMPRODUCT((N9:O9=E21)*(P9="×"))+SUMPRODUCT((B11:C11=E21)*(D11="×"))+SUMPRODUCT((E11:F11=E21)*(G11="×"))+SUMPRODUCT((H11:I11=E21)*(J11="×"))+SUMPRODUCT((K11:L11=E21)*(M11="×"))+SUMPRODUCT((N11:O11=E21)*(P11="×"))+SUMPRODUCT((B13:C13=E21)*(D13="×"))+SUMPRODUCT((E13:F13=E21)*(G13="×"))+SUMPRODUCT((H13:I13=E21)*(J13="×"))+SUMPRODUCT((K13:L13=E21)*(M13="×"))+SUMPRODUCT((N13:O13=E21)*(P13="×"))+SUMPRODUCT((B15:C15=E21)*(D15="×"))+SUMPRODUCT((E15:F15=E21)*(G15="×"))+SUMPRODUCT((H15:I15=E21)*(J15="×"))+SUMPRODUCT((K15:L15=E21)*(M15="×"))+SUMPRODUCT((N15:O15=E21)*(P15="×"))+SUMPRODUCT((B17:C17=E21)*(D17="×"))+SUMPRODUCT((E17:F17=E21)*(G17="×"))+SUMPRODUCT((H17:I17=E21)*(J17="×"))+SUMPRODUCT((K17:L17=E21)*(M17="×"))+SUMPRODUCT((N17:O17=E21)*(P17="×")))))</f>
        <v/>
      </c>
      <c r="F23" s="19">
        <f>IF(F21="","",IF(F24="","",F24-(SUMPRODUCT((B5:C5=F21)*(D5="×"))+SUMPRODUCT((E5:F5=F21)*(G5="×"))+SUMPRODUCT((H5:I5=F21)*(J5="×"))+SUMPRODUCT((K5:L5=F21)*(M5="×"))+SUMPRODUCT((N5:O5=F21)*(P5="×"))+SUMPRODUCT((B7:C7=F21)*(D7="×"))+SUMPRODUCT((E7:F7=F21)*(G7="×"))+SUMPRODUCT((H7:I7=F21)*(J7="×"))+SUMPRODUCT((K7:L7=F21)*(M7="×"))+SUMPRODUCT((N7:O7=F21)*(P7="×"))+SUMPRODUCT((B9:C9=F21)*(D9="×"))+SUMPRODUCT((E9:F9=F21)*(G9="×"))+SUMPRODUCT((H9:I9=F21)*(J9="×"))+SUMPRODUCT((K9:L9=F21)*(M9="×"))+SUMPRODUCT((N9:O9=F21)*(P9="×"))+SUMPRODUCT((B11:C11=F21)*(D11="×"))+SUMPRODUCT((E11:F11=F21)*(G11="×"))+SUMPRODUCT((H11:I11=F21)*(J11="×"))+SUMPRODUCT((K11:L11=F21)*(M11="×"))+SUMPRODUCT((N11:O11=F21)*(P11="×"))+SUMPRODUCT((B13:C13=F21)*(D13="×"))+SUMPRODUCT((E13:F13=F21)*(G13="×"))+SUMPRODUCT((H13:I13=F21)*(J13="×"))+SUMPRODUCT((K13:L13=F21)*(M13="×"))+SUMPRODUCT((N13:O13=F21)*(P13="×"))+SUMPRODUCT((B15:C15=F21)*(D15="×"))+SUMPRODUCT((E15:F15=F21)*(G15="×"))+SUMPRODUCT((H15:I15=F21)*(J15="×"))+SUMPRODUCT((K15:L15=F21)*(M15="×"))+SUMPRODUCT((N15:O15=F21)*(P15="×"))+SUMPRODUCT((B17:C17=F21)*(D17="×"))+SUMPRODUCT((E17:F17=F21)*(G17="×"))+SUMPRODUCT((H17:I17=F21)*(J17="×"))+SUMPRODUCT((K17:L17=F21)*(M17="×"))+SUMPRODUCT((N17:O17=F21)*(P17="×")))))</f>
        <v/>
      </c>
      <c r="G23" s="19">
        <f>IF(G21="","",IF(G24="","",G24-(SUMPRODUCT((B5:C5=G21)*(D5="×"))+SUMPRODUCT((E5:F5=G21)*(G5="×"))+SUMPRODUCT((H5:I5=G21)*(J5="×"))+SUMPRODUCT((K5:L5=G21)*(M5="×"))+SUMPRODUCT((N5:O5=G21)*(P5="×"))+SUMPRODUCT((B7:C7=G21)*(D7="×"))+SUMPRODUCT((E7:F7=G21)*(G7="×"))+SUMPRODUCT((H7:I7=G21)*(J7="×"))+SUMPRODUCT((K7:L7=G21)*(M7="×"))+SUMPRODUCT((N7:O7=G21)*(P7="×"))+SUMPRODUCT((B9:C9=G21)*(D9="×"))+SUMPRODUCT((E9:F9=G21)*(G9="×"))+SUMPRODUCT((H9:I9=G21)*(J9="×"))+SUMPRODUCT((K9:L9=G21)*(M9="×"))+SUMPRODUCT((N9:O9=G21)*(P9="×"))+SUMPRODUCT((B11:C11=G21)*(D11="×"))+SUMPRODUCT((E11:F11=G21)*(G11="×"))+SUMPRODUCT((H11:I11=G21)*(J11="×"))+SUMPRODUCT((K11:L11=G21)*(M11="×"))+SUMPRODUCT((N11:O11=G21)*(P11="×"))+SUMPRODUCT((B13:C13=G21)*(D13="×"))+SUMPRODUCT((E13:F13=G21)*(G13="×"))+SUMPRODUCT((H13:I13=G21)*(J13="×"))+SUMPRODUCT((K13:L13=G21)*(M13="×"))+SUMPRODUCT((N13:O13=G21)*(P13="×"))+SUMPRODUCT((B15:C15=G21)*(D15="×"))+SUMPRODUCT((E15:F15=G21)*(G15="×"))+SUMPRODUCT((H15:I15=G21)*(J15="×"))+SUMPRODUCT((K15:L15=G21)*(M15="×"))+SUMPRODUCT((N15:O15=G21)*(P15="×"))+SUMPRODUCT((B17:C17=G21)*(D17="×"))+SUMPRODUCT((E17:F17=G21)*(G17="×"))+SUMPRODUCT((H17:I17=G21)*(J17="×"))+SUMPRODUCT((K17:L17=G21)*(M17="×"))+SUMPRODUCT((N17:O17=G21)*(P17="×")))))</f>
        <v/>
      </c>
      <c r="H23" s="19"/>
      <c r="I23" s="19"/>
      <c r="J23" s="19"/>
      <c r="K23" s="19"/>
      <c r="L23" s="19"/>
      <c r="M23" s="19">
        <f>IF(M24="","",M24-(SUMPRODUCT((B5:C5="特活")*(D5="×"))+SUMPRODUCT((B5:C5="学活")*(D5="×"))+SUMPRODUCT((E5:F5="特活")*(G5="×"))+SUMPRODUCT((E5:F5="学活")*(G5="×"))+SUMPRODUCT((H5:I5="特活")*(J5="×"))+SUMPRODUCT((H5:I5="学活")*(J5="×"))+SUMPRODUCT((K5:L5="特活")*(M5="×"))+SUMPRODUCT((K5:L5="学活")*(M5="×"))+SUMPRODUCT((N5:O5="特活")*(P5="×"))+SUMPRODUCT((N5:O5="学活")*(P5="×"))+SUMPRODUCT((B7:C7="特活")*(D7="×"))+SUMPRODUCT((B7:C7="学活")*(D7="×"))+SUMPRODUCT((E7:F7="特活")*(G7="×"))+SUMPRODUCT((E7:F7="学活")*(G7="×"))+SUMPRODUCT((H7:I7="特活")*(J7="×"))+SUMPRODUCT((H7:I7="学活")*(J7="×"))+SUMPRODUCT((K7:L7="特活")*(M7="×"))+SUMPRODUCT((K7:L7="学活")*(M7="×"))+SUMPRODUCT((N7:O7="特活")*(P7="×"))+SUMPRODUCT((N7:O7="学活")*(P7="×"))+SUMPRODUCT((B9:C9="特活")*(D9="×"))+SUMPRODUCT((B9:C9="学活")*(D9="×"))+SUMPRODUCT((E9:F9="特活")*(G9="×"))+SUMPRODUCT((E9:F9="学活")*(G9="×"))+SUMPRODUCT((H9:I9="特活")*(J9="×"))+SUMPRODUCT((H9:I9="学活")*(J9="×"))+SUMPRODUCT((K9:L9="特活")*(M9="×"))+SUMPRODUCT((K9:L9="学活")*(M9="×"))+SUMPRODUCT((N9:O9="特活")*(P9="×"))+SUMPRODUCT((N9:O9="学活")*(P9="×"))+SUMPRODUCT((B11:C11="特活")*(D11="×"))+SUMPRODUCT((B11:C11="学活")*(D11="×"))+SUMPRODUCT((E11:F11="特活")*(G11="×"))+SUMPRODUCT((E11:F11="学活")*(G11="×"))+SUMPRODUCT((H11:I11="特活")*(J11="×"))+SUMPRODUCT((H11:I11="学活")*(J11="×"))+SUMPRODUCT((K11:L11="特活")*(M11="×"))+SUMPRODUCT((K11:L11="学活")*(M11="×"))+SUMPRODUCT((N11:O11="特活")*(P11="×"))+SUMPRODUCT((N11:O11="学活")*(P11="×"))+SUMPRODUCT((B13:C13="特活")*(D13="×"))+SUMPRODUCT((B13:C13="学活")*(D13="×"))+SUMPRODUCT((E13:F13="特活")*(G13="×"))+SUMPRODUCT((E13:F13="学活")*(G13="×"))+SUMPRODUCT((H13:I13="特活")*(J13="×"))+SUMPRODUCT((H13:I13="学活")*(J13="×"))+SUMPRODUCT((K13:L13="特活")*(M13="×"))+SUMPRODUCT((K13:L13="学活")*(M13="×"))+SUMPRODUCT((N13:O13="特活")*(P13="×"))+SUMPRODUCT((N13:O13="学活")*(P13="×"))+SUMPRODUCT((B15:C15="特活")*(D15="×"))+SUMPRODUCT((B15:C15="学活")*(D15="×"))+SUMPRODUCT((E15:F15="特活")*(G15="×"))+SUMPRODUCT((E15:F15="学活")*(G15="×"))+SUMPRODUCT((H15:I15="特活")*(J15="×"))+SUMPRODUCT((H15:I15="学活")*(J15="×"))+SUMPRODUCT((K15:L15="特活")*(M15="×"))+SUMPRODUCT((K15:L15="学活")*(M15="×"))+SUMPRODUCT((N15:O15="特活")*(P15="×"))+SUMPRODUCT((N15:O15="学活")*(P15="×"))+SUMPRODUCT((B17:C17="特活")*(D17="×"))+SUMPRODUCT((B17:C17="学活")*(D17="×"))+SUMPRODUCT((E17:F17="特活")*(G17="×"))+SUMPRODUCT((E17:F17="学活")*(G17="×"))+SUMPRODUCT((H17:I17="特活")*(J17="×"))+SUMPRODUCT((H17:I17="学活")*(J17="×"))+SUMPRODUCT((K17:L17="特活")*(M17="×"))+SUMPRODUCT((K17:L17="学活")*(M17="×"))+SUMPRODUCT((N17:O17="特活")*(P17="×"))+SUMPRODUCT((N17:O17="学活")*(P17="×"))))</f>
        <v/>
      </c>
      <c r="N23" s="19">
        <f>IF(N24="","",N24-(SUMPRODUCT((B5:C5=N21)*(D5="×"))+SUMPRODUCT((E5:F5=N21)*(G5="×"))+SUMPRODUCT((H5:I5=N21)*(J5="×"))+SUMPRODUCT((K5:L5=N21)*(M5="×"))+SUMPRODUCT((N5:O5=N21)*(P5="×"))+SUMPRODUCT((B7:C7=N21)*(D7="×"))+SUMPRODUCT((E7:F7=N21)*(G7="×"))+SUMPRODUCT((H7:I7=N21)*(J7="×"))+SUMPRODUCT((K7:L7=N21)*(M7="×"))+SUMPRODUCT((N7:O7=N21)*(P7="×"))+SUMPRODUCT((B9:C9=N21)*(D9="×"))+SUMPRODUCT((E9:F9=N21)*(G9="×"))+SUMPRODUCT((H9:I9=N21)*(J9="×"))+SUMPRODUCT((K9:L9=N21)*(M9="×"))+SUMPRODUCT((N9:O9=N21)*(P9="×"))+SUMPRODUCT((B11:C11=N21)*(D11="×"))+SUMPRODUCT((E11:F11=N21)*(G11="×"))+SUMPRODUCT((H11:I11=N21)*(J11="×"))+SUMPRODUCT((K11:L11=N21)*(M11="×"))+SUMPRODUCT((N11:O11=N21)*(P11="×"))+SUMPRODUCT((B13:C13=N21)*(D13="×"))+SUMPRODUCT((E13:F13=N21)*(G13="×"))+SUMPRODUCT((H13:I13=N21)*(J13="×"))+SUMPRODUCT((K13:L13=N21)*(M13="×"))+SUMPRODUCT((N13:O13=N21)*(P13="×"))+SUMPRODUCT((B15:C15=N21)*(D15="×"))+SUMPRODUCT((E15:F15=N21)*(G15="×"))+SUMPRODUCT((H15:I15=N21)*(J15="×"))+SUMPRODUCT((K15:L15=N21)*(M15="×"))+SUMPRODUCT((N15:O15=N21)*(P15="×"))+SUMPRODUCT((B17:C17=N21)*(D17="×"))+SUMPRODUCT((E17:F17=N21)*(G17="×"))+SUMPRODUCT((H17:I17=N21)*(J17="×"))+SUMPRODUCT((K17:L17=N21)*(M17="×"))+SUMPRODUCT((N17:O17=N21)*(P17="×"))))</f>
        <v/>
      </c>
      <c r="O23" s="19">
        <f>IF(O24="","",O24-(SUMPRODUCT((B5:C5=O21)*(D5="×"))+SUMPRODUCT((E5:F5=O21)*(G5="×"))+SUMPRODUCT((H5:I5=O21)*(J5="×"))+SUMPRODUCT((K5:L5=O21)*(M5="×"))+SUMPRODUCT((N5:O5=O21)*(P5="×"))+SUMPRODUCT((B7:C7=O21)*(D7="×"))+SUMPRODUCT((E7:F7=O21)*(G7="×"))+SUMPRODUCT((H7:I7=O21)*(J7="×"))+SUMPRODUCT((K7:L7=O21)*(M7="×"))+SUMPRODUCT((N7:O7=O21)*(P7="×"))+SUMPRODUCT((B9:C9=O21)*(D9="×"))+SUMPRODUCT((E9:F9=O21)*(G9="×"))+SUMPRODUCT((H9:I9=O21)*(J9="×"))+SUMPRODUCT((K9:L9=O21)*(M9="×"))+SUMPRODUCT((N9:O9=O21)*(P9="×"))+SUMPRODUCT((B11:C11=O21)*(D11="×"))+SUMPRODUCT((E11:F11=O21)*(G11="×"))+SUMPRODUCT((H11:I11=O21)*(J11="×"))+SUMPRODUCT((K11:L11=O21)*(M11="×"))+SUMPRODUCT((N11:O11=O21)*(P11="×"))+SUMPRODUCT((B13:C13=O21)*(D13="×"))+SUMPRODUCT((E13:F13=O21)*(G13="×"))+SUMPRODUCT((H13:I13=O21)*(J13="×"))+SUMPRODUCT((K13:L13=O21)*(M13="×"))+SUMPRODUCT((N13:O13=O21)*(P13="×"))+SUMPRODUCT((B15:C15=O21)*(D15="×"))+SUMPRODUCT((E15:F15=O21)*(G15="×"))+SUMPRODUCT((H15:I15=O21)*(J15="×"))+SUMPRODUCT((K15:L15=O21)*(M15="×"))+SUMPRODUCT((N15:O15=O21)*(P15="×"))+SUMPRODUCT((B17:C17=O21)*(D17="×"))+SUMPRODUCT((E17:F17=O21)*(G17="×"))+SUMPRODUCT((H17:I17=O21)*(J17="×"))+SUMPRODUCT((K17:L17=O21)*(M17="×"))+SUMPRODUCT((N17:O17=O21)*(P17="×"))))</f>
        <v/>
      </c>
      <c r="P23" s="20">
        <f>IF(SUM(B23:O23)=0,"",SUM(B23:O23))</f>
        <v/>
      </c>
    </row>
    <row r="24" spans="1:16" ht="13.5" customHeight="1" x14ac:dyDescent="0.2">
      <c r="A24" s="36"/>
      <c r="B24" s="21">
        <f>IF(B21="","",IF(COUNTIF(B5:C5,B21)+COUNTIF(B5:C5,"*,"&amp;B21&amp;",*")+COUNTIF(E5:F5,B21)+COUNTIF(E5:F5,"*,"&amp;B21&amp;",*")+COUNTIF(H5:I5,B21)+COUNTIF(H5:I5,"*,"&amp;B21&amp;",*")+COUNTIF(K5:L5,B21)+COUNTIF(K5:L5,"*,"&amp;B21&amp;",*")+COUNTIF(N5:O5,B21)+COUNTIF(N5:O5,"*,"&amp;B21&amp;",*")+COUNTIF(B7:C7,B21)+COUNTIF(B7:C7,"*,"&amp;B21&amp;",*")+COUNTIF(E7:F7,B21)+COUNTIF(E7:F7,"*,"&amp;B21&amp;",*")+COUNTIF(H7:I7,B21)+COUNTIF(H7:I7,"*,"&amp;B21&amp;",*")+COUNTIF(K7:L7,B21)+COUNTIF(K7:L7,"*,"&amp;B21&amp;",*")+COUNTIF(N7:O7,B21)+COUNTIF(N7:O7,"*,"&amp;B21&amp;",*")+COUNTIF(B9:C9,B21)+COUNTIF(B9:C9,"*,"&amp;B21&amp;",*")+COUNTIF(E9:F9,B21)+COUNTIF(E9:F9,"*,"&amp;B21&amp;",*")+COUNTIF(H9:I9,B21)+COUNTIF(H9:I9,"*,"&amp;B21&amp;",*")+COUNTIF(K9:L9,B21)+COUNTIF(K9:L9,"*,"&amp;B21&amp;",*")+COUNTIF(N9:O9,B21)+COUNTIF(N9:O9,"*,"&amp;B21&amp;",*")+COUNTIF(B11:C11,B21)+COUNTIF(B11:C11,"*,"&amp;B21&amp;",*")+COUNTIF(E11:F11,B21)+COUNTIF(E11:F11,"*,"&amp;B21&amp;",*")+COUNTIF(H11:I11,B21)+COUNTIF(H11:I11,"*,"&amp;B21&amp;",*")+COUNTIF(K11:L11,B21)+COUNTIF(K11:L11,"*,"&amp;B21&amp;",*")+COUNTIF(N11:O11,B21)+COUNTIF(N11:O11,"*,"&amp;B21&amp;",*")+COUNTIF(B13:C13,B21)+COUNTIF(B13:C13,"*,"&amp;B21&amp;",*")+COUNTIF(E13:F13,B21)+COUNTIF(E13:F13,"*,"&amp;B21&amp;",*")+COUNTIF(H13:I13,B21)+COUNTIF(H13:I13,"*,"&amp;B21&amp;",*")+COUNTIF(K13:L13,B21)+COUNTIF(K13:L13,"*,"&amp;B21&amp;",*")+COUNTIF(N13:O13,B21)+COUNTIF(N13:O13,"*,"&amp;B21&amp;",*")+COUNTIF(B15:C15,B21)+COUNTIF(B15:C15,"*,"&amp;B21&amp;",*")+COUNTIF(E15:F15,B21)+COUNTIF(E15:F15,"*,"&amp;B21&amp;",*")+COUNTIF(H15:I15,B21)+COUNTIF(H15:I15,"*,"&amp;B21&amp;",*")+COUNTIF(K15:L15,B21)+COUNTIF(K15:L15,"*,"&amp;B21&amp;",*")+COUNTIF(N15:O15,B21)+COUNTIF(N15:O15,"*,"&amp;B21&amp;",*")+COUNTIF(B17:C17,B21)+COUNTIF(B17:C17,"*,"&amp;B21&amp;",*")+COUNTIF(E17:F17,B21)+COUNTIF(E17:F17,"*,"&amp;B21&amp;",*")+COUNTIF(H17:I17,B21)+COUNTIF(H17:I17,"*,"&amp;B21&amp;",*")+COUNTIF(K17:L17,B21)+COUNTIF(K17:L17,"*,"&amp;B21&amp;",*")+COUNTIF(N17:O17,B21)+COUNTIF(N17:O17,"*,"&amp;B21&amp;",*")=0,"",COUNTIF(B5:C5,B21)+COUNTIF(B5:C5,"*,"&amp;B21&amp;",*")+COUNTIF(E5:F5,B21)+COUNTIF(E5:F5,"*,"&amp;B21&amp;",*")+COUNTIF(H5:I5,B21)+COUNTIF(H5:I5,"*,"&amp;B21&amp;",*")+COUNTIF(K5:L5,B21)+COUNTIF(K5:L5,"*,"&amp;B21&amp;",*")+COUNTIF(N5:O5,B21)+COUNTIF(N5:O5,"*,"&amp;B21&amp;",*")+COUNTIF(B7:C7,B21)+COUNTIF(B7:C7,"*,"&amp;B21&amp;",*")+COUNTIF(E7:F7,B21)+COUNTIF(E7:F7,"*,"&amp;B21&amp;",*")+COUNTIF(H7:I7,B21)+COUNTIF(H7:I7,"*,"&amp;B21&amp;",*")+COUNTIF(K7:L7,B21)+COUNTIF(K7:L7,"*,"&amp;B21&amp;",*")+COUNTIF(N7:O7,B21)+COUNTIF(N7:O7,"*,"&amp;B21&amp;",*")+COUNTIF(B9:C9,B21)+COUNTIF(B9:C9,"*,"&amp;B21&amp;",*")+COUNTIF(E9:F9,B21)+COUNTIF(E9:F9,"*,"&amp;B21&amp;",*")+COUNTIF(H9:I9,B21)+COUNTIF(H9:I9,"*,"&amp;B21&amp;",*")+COUNTIF(K9:L9,B21)+COUNTIF(K9:L9,"*,"&amp;B21&amp;",*")+COUNTIF(N9:O9,B21)+COUNTIF(N9:O9,"*,"&amp;B21&amp;",*")+COUNTIF(B11:C11,B21)+COUNTIF(B11:C11,"*,"&amp;B21&amp;",*")+COUNTIF(E11:F11,B21)+COUNTIF(E11:F11,"*,"&amp;B21&amp;",*")+COUNTIF(H11:I11,B21)+COUNTIF(H11:I11,"*,"&amp;B21&amp;",*")+COUNTIF(K11:L11,B21)+COUNTIF(K11:L11,"*,"&amp;B21&amp;",*")+COUNTIF(N11:O11,B21)+COUNTIF(N11:O11,"*,"&amp;B21&amp;",*")+COUNTIF(B13:C13,B21)+COUNTIF(B13:C13,"*,"&amp;B21&amp;",*")+COUNTIF(E13:F13,B21)+COUNTIF(E13:F13,"*,"&amp;B21&amp;",*")+COUNTIF(H13:I13,B21)+COUNTIF(H13:I13,"*,"&amp;B21&amp;",*")+COUNTIF(K13:L13,B21)+COUNTIF(K13:L13,"*,"&amp;B21&amp;",*")+COUNTIF(N13:O13,B21)+COUNTIF(N13:O13,"*,"&amp;B21&amp;",*")+COUNTIF(B15:C15,B21)+COUNTIF(B15:C15,"*,"&amp;B21&amp;",*")+COUNTIF(E15:F15,B21)+COUNTIF(E15:F15,"*,"&amp;B21&amp;",*")+COUNTIF(H15:I15,B21)+COUNTIF(H15:I15,"*,"&amp;B21&amp;",*")+COUNTIF(K15:L15,B21)+COUNTIF(K15:L15,"*,"&amp;B21&amp;",*")+COUNTIF(N15:O15,B21)+COUNTIF(N15:O15,"*,"&amp;B21&amp;",*")+COUNTIF(B17:C17,B21)+COUNTIF(B17:C17,"*,"&amp;B21&amp;",*")+COUNTIF(E17:F17,B21)+COUNTIF(E17:F17,"*,"&amp;B21&amp;",*")+COUNTIF(H17:I17,B21)+COUNTIF(H17:I17,"*,"&amp;B21&amp;",*")+COUNTIF(K17:L17,B21)+COUNTIF(K17:L17,"*,"&amp;B21&amp;",*")+COUNTIF(N17:O17,B21)+COUNTIF(N17:O17,"*,"&amp;B21&amp;",*")))</f>
        <v/>
      </c>
      <c r="C24" s="21">
        <f>IF(C21="","",IF(COUNTIF(B5:C5,C21)+COUNTIF(B5:C5,"*,"&amp;C21&amp;",*")+COUNTIF(E5:F5,C21)+COUNTIF(E5:F5,"*,"&amp;C21&amp;",*")+COUNTIF(H5:I5,C21)+COUNTIF(H5:I5,"*,"&amp;C21&amp;",*")+COUNTIF(K5:L5,C21)+COUNTIF(K5:L5,"*,"&amp;C21&amp;",*")+COUNTIF(N5:O5,C21)+COUNTIF(N5:O5,"*,"&amp;C21&amp;",*")+COUNTIF(B7:C7,C21)+COUNTIF(B7:C7,"*,"&amp;C21&amp;",*")+COUNTIF(E7:F7,C21)+COUNTIF(E7:F7,"*,"&amp;C21&amp;",*")+COUNTIF(H7:I7,C21)+COUNTIF(H7:I7,"*,"&amp;C21&amp;",*")+COUNTIF(K7:L7,C21)+COUNTIF(K7:L7,"*,"&amp;C21&amp;",*")+COUNTIF(N7:O7,C21)+COUNTIF(N7:O7,"*,"&amp;C21&amp;",*")+COUNTIF(B9:C9,C21)+COUNTIF(B9:C9,"*,"&amp;C21&amp;",*")+COUNTIF(E9:F9,C21)+COUNTIF(E9:F9,"*,"&amp;C21&amp;",*")+COUNTIF(H9:I9,C21)+COUNTIF(H9:I9,"*,"&amp;C21&amp;",*")+COUNTIF(K9:L9,C21)+COUNTIF(K9:L9,"*,"&amp;C21&amp;",*")+COUNTIF(N9:O9,C21)+COUNTIF(N9:O9,"*,"&amp;C21&amp;",*")+COUNTIF(B11:C11,C21)+COUNTIF(B11:C11,"*,"&amp;C21&amp;",*")+COUNTIF(E11:F11,C21)+COUNTIF(E11:F11,"*,"&amp;C21&amp;",*")+COUNTIF(H11:I11,C21)+COUNTIF(H11:I11,"*,"&amp;C21&amp;",*")+COUNTIF(K11:L11,C21)+COUNTIF(K11:L11,"*,"&amp;C21&amp;",*")+COUNTIF(N11:O11,C21)+COUNTIF(N11:O11,"*,"&amp;C21&amp;",*")+COUNTIF(B13:C13,C21)+COUNTIF(B13:C13,"*,"&amp;C21&amp;",*")+COUNTIF(E13:F13,C21)+COUNTIF(E13:F13,"*,"&amp;C21&amp;",*")+COUNTIF(H13:I13,C21)+COUNTIF(H13:I13,"*,"&amp;C21&amp;",*")+COUNTIF(K13:L13,C21)+COUNTIF(K13:L13,"*,"&amp;C21&amp;",*")+COUNTIF(N13:O13,C21)+COUNTIF(N13:O13,"*,"&amp;C21&amp;",*")+COUNTIF(B15:C15,C21)+COUNTIF(B15:C15,"*,"&amp;C21&amp;",*")+COUNTIF(E15:F15,C21)+COUNTIF(E15:F15,"*,"&amp;C21&amp;",*")+COUNTIF(H15:I15,C21)+COUNTIF(H15:I15,"*,"&amp;C21&amp;",*")+COUNTIF(K15:L15,C21)+COUNTIF(K15:L15,"*,"&amp;C21&amp;",*")+COUNTIF(N15:O15,C21)+COUNTIF(N15:O15,"*,"&amp;C21&amp;",*")+COUNTIF(B17:C17,C21)+COUNTIF(B17:C17,"*,"&amp;C21&amp;",*")+COUNTIF(E17:F17,C21)+COUNTIF(E17:F17,"*,"&amp;C21&amp;",*")+COUNTIF(H17:I17,C21)+COUNTIF(H17:I17,"*,"&amp;C21&amp;",*")+COUNTIF(K17:L17,C21)+COUNTIF(K17:L17,"*,"&amp;C21&amp;",*")+COUNTIF(N17:O17,C21)+COUNTIF(N17:O17,"*,"&amp;C21&amp;",*")=0,"",COUNTIF(B5:C5,C21)+COUNTIF(B5:C5,"*,"&amp;C21&amp;",*")+COUNTIF(E5:F5,C21)+COUNTIF(E5:F5,"*,"&amp;C21&amp;",*")+COUNTIF(H5:I5,C21)+COUNTIF(H5:I5,"*,"&amp;C21&amp;",*")+COUNTIF(K5:L5,C21)+COUNTIF(K5:L5,"*,"&amp;C21&amp;",*")+COUNTIF(N5:O5,C21)+COUNTIF(N5:O5,"*,"&amp;C21&amp;",*")+COUNTIF(B7:C7,C21)+COUNTIF(B7:C7,"*,"&amp;C21&amp;",*")+COUNTIF(E7:F7,C21)+COUNTIF(E7:F7,"*,"&amp;C21&amp;",*")+COUNTIF(H7:I7,C21)+COUNTIF(H7:I7,"*,"&amp;C21&amp;",*")+COUNTIF(K7:L7,C21)+COUNTIF(K7:L7,"*,"&amp;C21&amp;",*")+COUNTIF(N7:O7,C21)+COUNTIF(N7:O7,"*,"&amp;C21&amp;",*")+COUNTIF(B9:C9,C21)+COUNTIF(B9:C9,"*,"&amp;C21&amp;",*")+COUNTIF(E9:F9,C21)+COUNTIF(E9:F9,"*,"&amp;C21&amp;",*")+COUNTIF(H9:I9,C21)+COUNTIF(H9:I9,"*,"&amp;C21&amp;",*")+COUNTIF(K9:L9,C21)+COUNTIF(K9:L9,"*,"&amp;C21&amp;",*")+COUNTIF(N9:O9,C21)+COUNTIF(N9:O9,"*,"&amp;C21&amp;",*")+COUNTIF(B11:C11,C21)+COUNTIF(B11:C11,"*,"&amp;C21&amp;",*")+COUNTIF(E11:F11,C21)+COUNTIF(E11:F11,"*,"&amp;C21&amp;",*")+COUNTIF(H11:I11,C21)+COUNTIF(H11:I11,"*,"&amp;C21&amp;",*")+COUNTIF(K11:L11,C21)+COUNTIF(K11:L11,"*,"&amp;C21&amp;",*")+COUNTIF(N11:O11,C21)+COUNTIF(N11:O11,"*,"&amp;C21&amp;",*")+COUNTIF(B13:C13,C21)+COUNTIF(B13:C13,"*,"&amp;C21&amp;",*")+COUNTIF(E13:F13,C21)+COUNTIF(E13:F13,"*,"&amp;C21&amp;",*")+COUNTIF(H13:I13,C21)+COUNTIF(H13:I13,"*,"&amp;C21&amp;",*")+COUNTIF(K13:L13,C21)+COUNTIF(K13:L13,"*,"&amp;C21&amp;",*")+COUNTIF(N13:O13,C21)+COUNTIF(N13:O13,"*,"&amp;C21&amp;",*")+COUNTIF(B15:C15,C21)+COUNTIF(B15:C15,"*,"&amp;C21&amp;",*")+COUNTIF(E15:F15,C21)+COUNTIF(E15:F15,"*,"&amp;C21&amp;",*")+COUNTIF(H15:I15,C21)+COUNTIF(H15:I15,"*,"&amp;C21&amp;",*")+COUNTIF(K15:L15,C21)+COUNTIF(K15:L15,"*,"&amp;C21&amp;",*")+COUNTIF(N15:O15,C21)+COUNTIF(N15:O15,"*,"&amp;C21&amp;",*")+COUNTIF(B17:C17,C21)+COUNTIF(B17:C17,"*,"&amp;C21&amp;",*")+COUNTIF(E17:F17,C21)+COUNTIF(E17:F17,"*,"&amp;C21&amp;",*")+COUNTIF(H17:I17,C21)+COUNTIF(H17:I17,"*,"&amp;C21&amp;",*")+COUNTIF(K17:L17,C21)+COUNTIF(K17:L17,"*,"&amp;C21&amp;",*")+COUNTIF(N17:O17,C21)+COUNTIF(N17:O17,"*,"&amp;C21&amp;",*")))</f>
        <v/>
      </c>
      <c r="D24" s="21">
        <f>IF(D21="","",IF(COUNTIF(B5:C5,D21)+COUNTIF(B5:C5,"*,"&amp;D21&amp;",*")+COUNTIF(E5:F5,D21)+COUNTIF(E5:F5,"*,"&amp;D21&amp;",*")+COUNTIF(H5:I5,D21)+COUNTIF(H5:I5,"*,"&amp;D21&amp;",*")+COUNTIF(K5:L5,D21)+COUNTIF(K5:L5,"*,"&amp;D21&amp;",*")+COUNTIF(N5:O5,D21)+COUNTIF(N5:O5,"*,"&amp;D21&amp;",*")+COUNTIF(B7:C7,D21)+COUNTIF(B7:C7,"*,"&amp;D21&amp;",*")+COUNTIF(E7:F7,D21)+COUNTIF(E7:F7,"*,"&amp;D21&amp;",*")+COUNTIF(H7:I7,D21)+COUNTIF(H7:I7,"*,"&amp;D21&amp;",*")+COUNTIF(K7:L7,D21)+COUNTIF(K7:L7,"*,"&amp;D21&amp;",*")+COUNTIF(N7:O7,D21)+COUNTIF(N7:O7,"*,"&amp;D21&amp;",*")+COUNTIF(B9:C9,D21)+COUNTIF(B9:C9,"*,"&amp;D21&amp;",*")+COUNTIF(E9:F9,D21)+COUNTIF(E9:F9,"*,"&amp;D21&amp;",*")+COUNTIF(H9:I9,D21)+COUNTIF(H9:I9,"*,"&amp;D21&amp;",*")+COUNTIF(K9:L9,D21)+COUNTIF(K9:L9,"*,"&amp;D21&amp;",*")+COUNTIF(N9:O9,D21)+COUNTIF(N9:O9,"*,"&amp;D21&amp;",*")+COUNTIF(B11:C11,D21)+COUNTIF(B11:C11,"*,"&amp;D21&amp;",*")+COUNTIF(E11:F11,D21)+COUNTIF(E11:F11,"*,"&amp;D21&amp;",*")+COUNTIF(H11:I11,D21)+COUNTIF(H11:I11,"*,"&amp;D21&amp;",*")+COUNTIF(K11:L11,D21)+COUNTIF(K11:L11,"*,"&amp;D21&amp;",*")+COUNTIF(N11:O11,D21)+COUNTIF(N11:O11,"*,"&amp;D21&amp;",*")+COUNTIF(B13:C13,D21)+COUNTIF(B13:C13,"*,"&amp;D21&amp;",*")+COUNTIF(E13:F13,D21)+COUNTIF(E13:F13,"*,"&amp;D21&amp;",*")+COUNTIF(H13:I13,D21)+COUNTIF(H13:I13,"*,"&amp;D21&amp;",*")+COUNTIF(K13:L13,D21)+COUNTIF(K13:L13,"*,"&amp;D21&amp;",*")+COUNTIF(N13:O13,D21)+COUNTIF(N13:O13,"*,"&amp;D21&amp;",*")+COUNTIF(B15:C15,D21)+COUNTIF(B15:C15,"*,"&amp;D21&amp;",*")+COUNTIF(E15:F15,D21)+COUNTIF(E15:F15,"*,"&amp;D21&amp;",*")+COUNTIF(H15:I15,D21)+COUNTIF(H15:I15,"*,"&amp;D21&amp;",*")+COUNTIF(K15:L15,D21)+COUNTIF(K15:L15,"*,"&amp;D21&amp;",*")+COUNTIF(N15:O15,D21)+COUNTIF(N15:O15,"*,"&amp;D21&amp;",*")+COUNTIF(B17:C17,D21)+COUNTIF(B17:C17,"*,"&amp;D21&amp;",*")+COUNTIF(E17:F17,D21)+COUNTIF(E17:F17,"*,"&amp;D21&amp;",*")+COUNTIF(H17:I17,D21)+COUNTIF(H17:I17,"*,"&amp;D21&amp;",*")+COUNTIF(K17:L17,D21)+COUNTIF(K17:L17,"*,"&amp;D21&amp;",*")+COUNTIF(N17:O17,D21)+COUNTIF(N17:O17,"*,"&amp;D21&amp;",*")=0,"",COUNTIF(B5:C5,D21)+COUNTIF(B5:C5,"*,"&amp;D21&amp;",*")+COUNTIF(E5:F5,D21)+COUNTIF(E5:F5,"*,"&amp;D21&amp;",*")+COUNTIF(H5:I5,D21)+COUNTIF(H5:I5,"*,"&amp;D21&amp;",*")+COUNTIF(K5:L5,D21)+COUNTIF(K5:L5,"*,"&amp;D21&amp;",*")+COUNTIF(N5:O5,D21)+COUNTIF(N5:O5,"*,"&amp;D21&amp;",*")+COUNTIF(B7:C7,D21)+COUNTIF(B7:C7,"*,"&amp;D21&amp;",*")+COUNTIF(E7:F7,D21)+COUNTIF(E7:F7,"*,"&amp;D21&amp;",*")+COUNTIF(H7:I7,D21)+COUNTIF(H7:I7,"*,"&amp;D21&amp;",*")+COUNTIF(K7:L7,D21)+COUNTIF(K7:L7,"*,"&amp;D21&amp;",*")+COUNTIF(N7:O7,D21)+COUNTIF(N7:O7,"*,"&amp;D21&amp;",*")+COUNTIF(B9:C9,D21)+COUNTIF(B9:C9,"*,"&amp;D21&amp;",*")+COUNTIF(E9:F9,D21)+COUNTIF(E9:F9,"*,"&amp;D21&amp;",*")+COUNTIF(H9:I9,D21)+COUNTIF(H9:I9,"*,"&amp;D21&amp;",*")+COUNTIF(K9:L9,D21)+COUNTIF(K9:L9,"*,"&amp;D21&amp;",*")+COUNTIF(N9:O9,D21)+COUNTIF(N9:O9,"*,"&amp;D21&amp;",*")+COUNTIF(B11:C11,D21)+COUNTIF(B11:C11,"*,"&amp;D21&amp;",*")+COUNTIF(E11:F11,D21)+COUNTIF(E11:F11,"*,"&amp;D21&amp;",*")+COUNTIF(H11:I11,D21)+COUNTIF(H11:I11,"*,"&amp;D21&amp;",*")+COUNTIF(K11:L11,D21)+COUNTIF(K11:L11,"*,"&amp;D21&amp;",*")+COUNTIF(N11:O11,D21)+COUNTIF(N11:O11,"*,"&amp;D21&amp;",*")+COUNTIF(B13:C13,D21)+COUNTIF(B13:C13,"*,"&amp;D21&amp;",*")+COUNTIF(E13:F13,D21)+COUNTIF(E13:F13,"*,"&amp;D21&amp;",*")+COUNTIF(H13:I13,D21)+COUNTIF(H13:I13,"*,"&amp;D21&amp;",*")+COUNTIF(K13:L13,D21)+COUNTIF(K13:L13,"*,"&amp;D21&amp;",*")+COUNTIF(N13:O13,D21)+COUNTIF(N13:O13,"*,"&amp;D21&amp;",*")+COUNTIF(B15:C15,D21)+COUNTIF(B15:C15,"*,"&amp;D21&amp;",*")+COUNTIF(E15:F15,D21)+COUNTIF(E15:F15,"*,"&amp;D21&amp;",*")+COUNTIF(H15:I15,D21)+COUNTIF(H15:I15,"*,"&amp;D21&amp;",*")+COUNTIF(K15:L15,D21)+COUNTIF(K15:L15,"*,"&amp;D21&amp;",*")+COUNTIF(N15:O15,D21)+COUNTIF(N15:O15,"*,"&amp;D21&amp;",*")+COUNTIF(B17:C17,D21)+COUNTIF(B17:C17,"*,"&amp;D21&amp;",*")+COUNTIF(E17:F17,D21)+COUNTIF(E17:F17,"*,"&amp;D21&amp;",*")+COUNTIF(H17:I17,D21)+COUNTIF(H17:I17,"*,"&amp;D21&amp;",*")+COUNTIF(K17:L17,D21)+COUNTIF(K17:L17,"*,"&amp;D21&amp;",*")+COUNTIF(N17:O17,D21)+COUNTIF(N17:O17,"*,"&amp;D21&amp;",*")))</f>
        <v/>
      </c>
      <c r="E24" s="21">
        <f>IF(E21="","",IF(COUNTIF(B5:C5,E21)+COUNTIF(B5:C5,"*,"&amp;E21&amp;",*")+COUNTIF(E5:F5,E21)+COUNTIF(E5:F5,"*,"&amp;E21&amp;",*")+COUNTIF(H5:I5,E21)+COUNTIF(H5:I5,"*,"&amp;E21&amp;",*")+COUNTIF(K5:L5,E21)+COUNTIF(K5:L5,"*,"&amp;E21&amp;",*")+COUNTIF(N5:O5,E21)+COUNTIF(N5:O5,"*,"&amp;E21&amp;",*")+COUNTIF(B7:C7,E21)+COUNTIF(B7:C7,"*,"&amp;E21&amp;",*")+COUNTIF(E7:F7,E21)+COUNTIF(E7:F7,"*,"&amp;E21&amp;",*")+COUNTIF(H7:I7,E21)+COUNTIF(H7:I7,"*,"&amp;E21&amp;",*")+COUNTIF(K7:L7,E21)+COUNTIF(K7:L7,"*,"&amp;E21&amp;",*")+COUNTIF(N7:O7,E21)+COUNTIF(N7:O7,"*,"&amp;E21&amp;",*")+COUNTIF(B9:C9,E21)+COUNTIF(B9:C9,"*,"&amp;E21&amp;",*")+COUNTIF(E9:F9,E21)+COUNTIF(E9:F9,"*,"&amp;E21&amp;",*")+COUNTIF(H9:I9,E21)+COUNTIF(H9:I9,"*,"&amp;E21&amp;",*")+COUNTIF(K9:L9,E21)+COUNTIF(K9:L9,"*,"&amp;E21&amp;",*")+COUNTIF(N9:O9,E21)+COUNTIF(N9:O9,"*,"&amp;E21&amp;",*")+COUNTIF(B11:C11,E21)+COUNTIF(B11:C11,"*,"&amp;E21&amp;",*")+COUNTIF(E11:F11,E21)+COUNTIF(E11:F11,"*,"&amp;E21&amp;",*")+COUNTIF(H11:I11,E21)+COUNTIF(H11:I11,"*,"&amp;E21&amp;",*")+COUNTIF(K11:L11,E21)+COUNTIF(K11:L11,"*,"&amp;E21&amp;",*")+COUNTIF(N11:O11,E21)+COUNTIF(N11:O11,"*,"&amp;E21&amp;",*")+COUNTIF(B13:C13,E21)+COUNTIF(B13:C13,"*,"&amp;E21&amp;",*")+COUNTIF(E13:F13,E21)+COUNTIF(E13:F13,"*,"&amp;E21&amp;",*")+COUNTIF(H13:I13,E21)+COUNTIF(H13:I13,"*,"&amp;E21&amp;",*")+COUNTIF(K13:L13,E21)+COUNTIF(K13:L13,"*,"&amp;E21&amp;",*")+COUNTIF(N13:O13,E21)+COUNTIF(N13:O13,"*,"&amp;E21&amp;",*")+COUNTIF(B15:C15,E21)+COUNTIF(B15:C15,"*,"&amp;E21&amp;",*")+COUNTIF(E15:F15,E21)+COUNTIF(E15:F15,"*,"&amp;E21&amp;",*")+COUNTIF(H15:I15,E21)+COUNTIF(H15:I15,"*,"&amp;E21&amp;",*")+COUNTIF(K15:L15,E21)+COUNTIF(K15:L15,"*,"&amp;E21&amp;",*")+COUNTIF(N15:O15,E21)+COUNTIF(N15:O15,"*,"&amp;E21&amp;",*")+COUNTIF(B17:C17,E21)+COUNTIF(B17:C17,"*,"&amp;E21&amp;",*")+COUNTIF(E17:F17,E21)+COUNTIF(E17:F17,"*,"&amp;E21&amp;",*")+COUNTIF(H17:I17,E21)+COUNTIF(H17:I17,"*,"&amp;E21&amp;",*")+COUNTIF(K17:L17,E21)+COUNTIF(K17:L17,"*,"&amp;E21&amp;",*")+COUNTIF(N17:O17,E21)+COUNTIF(N17:O17,"*,"&amp;E21&amp;",*")=0,"",COUNTIF(B5:C5,E21)+COUNTIF(B5:C5,"*,"&amp;E21&amp;",*")+COUNTIF(E5:F5,E21)+COUNTIF(E5:F5,"*,"&amp;E21&amp;",*")+COUNTIF(H5:I5,E21)+COUNTIF(H5:I5,"*,"&amp;E21&amp;",*")+COUNTIF(K5:L5,E21)+COUNTIF(K5:L5,"*,"&amp;E21&amp;",*")+COUNTIF(N5:O5,E21)+COUNTIF(N5:O5,"*,"&amp;E21&amp;",*")+COUNTIF(B7:C7,E21)+COUNTIF(B7:C7,"*,"&amp;E21&amp;",*")+COUNTIF(E7:F7,E21)+COUNTIF(E7:F7,"*,"&amp;E21&amp;",*")+COUNTIF(H7:I7,E21)+COUNTIF(H7:I7,"*,"&amp;E21&amp;",*")+COUNTIF(K7:L7,E21)+COUNTIF(K7:L7,"*,"&amp;E21&amp;",*")+COUNTIF(N7:O7,E21)+COUNTIF(N7:O7,"*,"&amp;E21&amp;",*")+COUNTIF(B9:C9,E21)+COUNTIF(B9:C9,"*,"&amp;E21&amp;",*")+COUNTIF(E9:F9,E21)+COUNTIF(E9:F9,"*,"&amp;E21&amp;",*")+COUNTIF(H9:I9,E21)+COUNTIF(H9:I9,"*,"&amp;E21&amp;",*")+COUNTIF(K9:L9,E21)+COUNTIF(K9:L9,"*,"&amp;E21&amp;",*")+COUNTIF(N9:O9,E21)+COUNTIF(N9:O9,"*,"&amp;E21&amp;",*")+COUNTIF(B11:C11,E21)+COUNTIF(B11:C11,"*,"&amp;E21&amp;",*")+COUNTIF(E11:F11,E21)+COUNTIF(E11:F11,"*,"&amp;E21&amp;",*")+COUNTIF(H11:I11,E21)+COUNTIF(H11:I11,"*,"&amp;E21&amp;",*")+COUNTIF(K11:L11,E21)+COUNTIF(K11:L11,"*,"&amp;E21&amp;",*")+COUNTIF(N11:O11,E21)+COUNTIF(N11:O11,"*,"&amp;E21&amp;",*")+COUNTIF(B13:C13,E21)+COUNTIF(B13:C13,"*,"&amp;E21&amp;",*")+COUNTIF(E13:F13,E21)+COUNTIF(E13:F13,"*,"&amp;E21&amp;",*")+COUNTIF(H13:I13,E21)+COUNTIF(H13:I13,"*,"&amp;E21&amp;",*")+COUNTIF(K13:L13,E21)+COUNTIF(K13:L13,"*,"&amp;E21&amp;",*")+COUNTIF(N13:O13,E21)+COUNTIF(N13:O13,"*,"&amp;E21&amp;",*")+COUNTIF(B15:C15,E21)+COUNTIF(B15:C15,"*,"&amp;E21&amp;",*")+COUNTIF(E15:F15,E21)+COUNTIF(E15:F15,"*,"&amp;E21&amp;",*")+COUNTIF(H15:I15,E21)+COUNTIF(H15:I15,"*,"&amp;E21&amp;",*")+COUNTIF(K15:L15,E21)+COUNTIF(K15:L15,"*,"&amp;E21&amp;",*")+COUNTIF(N15:O15,E21)+COUNTIF(N15:O15,"*,"&amp;E21&amp;",*")+COUNTIF(B17:C17,E21)+COUNTIF(B17:C17,"*,"&amp;E21&amp;",*")+COUNTIF(E17:F17,E21)+COUNTIF(E17:F17,"*,"&amp;E21&amp;",*")+COUNTIF(H17:I17,E21)+COUNTIF(H17:I17,"*,"&amp;E21&amp;",*")+COUNTIF(K17:L17,E21)+COUNTIF(K17:L17,"*,"&amp;E21&amp;",*")+COUNTIF(N17:O17,E21)+COUNTIF(N17:O17,"*,"&amp;E21&amp;",*")))</f>
        <v/>
      </c>
      <c r="F24" s="21">
        <f>IF(F21="","",IF(COUNTIF(B5:C5,F21)+COUNTIF(B5:C5,"*,"&amp;F21&amp;",*")+COUNTIF(E5:F5,F21)+COUNTIF(E5:F5,"*,"&amp;F21&amp;",*")+COUNTIF(H5:I5,F21)+COUNTIF(H5:I5,"*,"&amp;F21&amp;",*")+COUNTIF(K5:L5,F21)+COUNTIF(K5:L5,"*,"&amp;F21&amp;",*")+COUNTIF(N5:O5,F21)+COUNTIF(N5:O5,"*,"&amp;F21&amp;",*")+COUNTIF(B7:C7,F21)+COUNTIF(B7:C7,"*,"&amp;F21&amp;",*")+COUNTIF(E7:F7,F21)+COUNTIF(E7:F7,"*,"&amp;F21&amp;",*")+COUNTIF(H7:I7,F21)+COUNTIF(H7:I7,"*,"&amp;F21&amp;",*")+COUNTIF(K7:L7,F21)+COUNTIF(K7:L7,"*,"&amp;F21&amp;",*")+COUNTIF(N7:O7,F21)+COUNTIF(N7:O7,"*,"&amp;F21&amp;",*")+COUNTIF(B9:C9,F21)+COUNTIF(B9:C9,"*,"&amp;F21&amp;",*")+COUNTIF(E9:F9,F21)+COUNTIF(E9:F9,"*,"&amp;F21&amp;",*")+COUNTIF(H9:I9,F21)+COUNTIF(H9:I9,"*,"&amp;F21&amp;",*")+COUNTIF(K9:L9,F21)+COUNTIF(K9:L9,"*,"&amp;F21&amp;",*")+COUNTIF(N9:O9,F21)+COUNTIF(N9:O9,"*,"&amp;F21&amp;",*")+COUNTIF(B11:C11,F21)+COUNTIF(B11:C11,"*,"&amp;F21&amp;",*")+COUNTIF(E11:F11,F21)+COUNTIF(E11:F11,"*,"&amp;F21&amp;",*")+COUNTIF(H11:I11,F21)+COUNTIF(H11:I11,"*,"&amp;F21&amp;",*")+COUNTIF(K11:L11,F21)+COUNTIF(K11:L11,"*,"&amp;F21&amp;",*")+COUNTIF(N11:O11,F21)+COUNTIF(N11:O11,"*,"&amp;F21&amp;",*")+COUNTIF(B13:C13,F21)+COUNTIF(B13:C13,"*,"&amp;F21&amp;",*")+COUNTIF(E13:F13,F21)+COUNTIF(E13:F13,"*,"&amp;F21&amp;",*")+COUNTIF(H13:I13,F21)+COUNTIF(H13:I13,"*,"&amp;F21&amp;",*")+COUNTIF(K13:L13,F21)+COUNTIF(K13:L13,"*,"&amp;F21&amp;",*")+COUNTIF(N13:O13,F21)+COUNTIF(N13:O13,"*,"&amp;F21&amp;",*")+COUNTIF(B15:C15,F21)+COUNTIF(B15:C15,"*,"&amp;F21&amp;",*")+COUNTIF(E15:F15,F21)+COUNTIF(E15:F15,"*,"&amp;F21&amp;",*")+COUNTIF(H15:I15,F21)+COUNTIF(H15:I15,"*,"&amp;F21&amp;",*")+COUNTIF(K15:L15,F21)+COUNTIF(K15:L15,"*,"&amp;F21&amp;",*")+COUNTIF(N15:O15,F21)+COUNTIF(N15:O15,"*,"&amp;F21&amp;",*")+COUNTIF(B17:C17,F21)+COUNTIF(B17:C17,"*,"&amp;F21&amp;",*")+COUNTIF(E17:F17,F21)+COUNTIF(E17:F17,"*,"&amp;F21&amp;",*")+COUNTIF(H17:I17,F21)+COUNTIF(H17:I17,"*,"&amp;F21&amp;",*")+COUNTIF(K17:L17,F21)+COUNTIF(K17:L17,"*,"&amp;F21&amp;",*")+COUNTIF(N17:O17,F21)+COUNTIF(N17:O17,"*,"&amp;F21&amp;",*")=0,"",COUNTIF(B5:C5,F21)+COUNTIF(B5:C5,"*,"&amp;F21&amp;",*")+COUNTIF(E5:F5,F21)+COUNTIF(E5:F5,"*,"&amp;F21&amp;",*")+COUNTIF(H5:I5,F21)+COUNTIF(H5:I5,"*,"&amp;F21&amp;",*")+COUNTIF(K5:L5,F21)+COUNTIF(K5:L5,"*,"&amp;F21&amp;",*")+COUNTIF(N5:O5,F21)+COUNTIF(N5:O5,"*,"&amp;F21&amp;",*")+COUNTIF(B7:C7,F21)+COUNTIF(B7:C7,"*,"&amp;F21&amp;",*")+COUNTIF(E7:F7,F21)+COUNTIF(E7:F7,"*,"&amp;F21&amp;",*")+COUNTIF(H7:I7,F21)+COUNTIF(H7:I7,"*,"&amp;F21&amp;",*")+COUNTIF(K7:L7,F21)+COUNTIF(K7:L7,"*,"&amp;F21&amp;",*")+COUNTIF(N7:O7,F21)+COUNTIF(N7:O7,"*,"&amp;F21&amp;",*")+COUNTIF(B9:C9,F21)+COUNTIF(B9:C9,"*,"&amp;F21&amp;",*")+COUNTIF(E9:F9,F21)+COUNTIF(E9:F9,"*,"&amp;F21&amp;",*")+COUNTIF(H9:I9,F21)+COUNTIF(H9:I9,"*,"&amp;F21&amp;",*")+COUNTIF(K9:L9,F21)+COUNTIF(K9:L9,"*,"&amp;F21&amp;",*")+COUNTIF(N9:O9,F21)+COUNTIF(N9:O9,"*,"&amp;F21&amp;",*")+COUNTIF(B11:C11,F21)+COUNTIF(B11:C11,"*,"&amp;F21&amp;",*")+COUNTIF(E11:F11,F21)+COUNTIF(E11:F11,"*,"&amp;F21&amp;",*")+COUNTIF(H11:I11,F21)+COUNTIF(H11:I11,"*,"&amp;F21&amp;",*")+COUNTIF(K11:L11,F21)+COUNTIF(K11:L11,"*,"&amp;F21&amp;",*")+COUNTIF(N11:O11,F21)+COUNTIF(N11:O11,"*,"&amp;F21&amp;",*")+COUNTIF(B13:C13,F21)+COUNTIF(B13:C13,"*,"&amp;F21&amp;",*")+COUNTIF(E13:F13,F21)+COUNTIF(E13:F13,"*,"&amp;F21&amp;",*")+COUNTIF(H13:I13,F21)+COUNTIF(H13:I13,"*,"&amp;F21&amp;",*")+COUNTIF(K13:L13,F21)+COUNTIF(K13:L13,"*,"&amp;F21&amp;",*")+COUNTIF(N13:O13,F21)+COUNTIF(N13:O13,"*,"&amp;F21&amp;",*")+COUNTIF(B15:C15,F21)+COUNTIF(B15:C15,"*,"&amp;F21&amp;",*")+COUNTIF(E15:F15,F21)+COUNTIF(E15:F15,"*,"&amp;F21&amp;",*")+COUNTIF(H15:I15,F21)+COUNTIF(H15:I15,"*,"&amp;F21&amp;",*")+COUNTIF(K15:L15,F21)+COUNTIF(K15:L15,"*,"&amp;F21&amp;",*")+COUNTIF(N15:O15,F21)+COUNTIF(N15:O15,"*,"&amp;F21&amp;",*")+COUNTIF(B17:C17,F21)+COUNTIF(B17:C17,"*,"&amp;F21&amp;",*")+COUNTIF(E17:F17,F21)+COUNTIF(E17:F17,"*,"&amp;F21&amp;",*")+COUNTIF(H17:I17,F21)+COUNTIF(H17:I17,"*,"&amp;F21&amp;",*")+COUNTIF(K17:L17,F21)+COUNTIF(K17:L17,"*,"&amp;F21&amp;",*")+COUNTIF(N17:O17,F21)+COUNTIF(N17:O17,"*,"&amp;F21&amp;",*")))</f>
        <v/>
      </c>
      <c r="G24" s="21">
        <f>IF(G21="","",IF(COUNTIF(B5:C5,G21)+COUNTIF(B5:C5,"*,"&amp;G21&amp;",*")+COUNTIF(E5:F5,G21)+COUNTIF(E5:F5,"*,"&amp;G21&amp;",*")+COUNTIF(H5:I5,G21)+COUNTIF(H5:I5,"*,"&amp;G21&amp;",*")+COUNTIF(K5:L5,G21)+COUNTIF(K5:L5,"*,"&amp;G21&amp;",*")+COUNTIF(N5:O5,G21)+COUNTIF(N5:O5,"*,"&amp;G21&amp;",*")+COUNTIF(B7:C7,G21)+COUNTIF(B7:C7,"*,"&amp;G21&amp;",*")+COUNTIF(E7:F7,G21)+COUNTIF(E7:F7,"*,"&amp;G21&amp;",*")+COUNTIF(H7:I7,G21)+COUNTIF(H7:I7,"*,"&amp;G21&amp;",*")+COUNTIF(K7:L7,G21)+COUNTIF(K7:L7,"*,"&amp;G21&amp;",*")+COUNTIF(N7:O7,G21)+COUNTIF(N7:O7,"*,"&amp;G21&amp;",*")+COUNTIF(B9:C9,G21)+COUNTIF(B9:C9,"*,"&amp;G21&amp;",*")+COUNTIF(E9:F9,G21)+COUNTIF(E9:F9,"*,"&amp;G21&amp;",*")+COUNTIF(H9:I9,G21)+COUNTIF(H9:I9,"*,"&amp;G21&amp;",*")+COUNTIF(K9:L9,G21)+COUNTIF(K9:L9,"*,"&amp;G21&amp;",*")+COUNTIF(N9:O9,G21)+COUNTIF(N9:O9,"*,"&amp;G21&amp;",*")+COUNTIF(B11:C11,G21)+COUNTIF(B11:C11,"*,"&amp;G21&amp;",*")+COUNTIF(E11:F11,G21)+COUNTIF(E11:F11,"*,"&amp;G21&amp;",*")+COUNTIF(H11:I11,G21)+COUNTIF(H11:I11,"*,"&amp;G21&amp;",*")+COUNTIF(K11:L11,G21)+COUNTIF(K11:L11,"*,"&amp;G21&amp;",*")+COUNTIF(N11:O11,G21)+COUNTIF(N11:O11,"*,"&amp;G21&amp;",*")+COUNTIF(B13:C13,G21)+COUNTIF(B13:C13,"*,"&amp;G21&amp;",*")+COUNTIF(E13:F13,G21)+COUNTIF(E13:F13,"*,"&amp;G21&amp;",*")+COUNTIF(H13:I13,G21)+COUNTIF(H13:I13,"*,"&amp;G21&amp;",*")+COUNTIF(K13:L13,G21)+COUNTIF(K13:L13,"*,"&amp;G21&amp;",*")+COUNTIF(N13:O13,G21)+COUNTIF(N13:O13,"*,"&amp;G21&amp;",*")+COUNTIF(B15:C15,G21)+COUNTIF(B15:C15,"*,"&amp;G21&amp;",*")+COUNTIF(E15:F15,G21)+COUNTIF(E15:F15,"*,"&amp;G21&amp;",*")+COUNTIF(H15:I15,G21)+COUNTIF(H15:I15,"*,"&amp;G21&amp;",*")+COUNTIF(K15:L15,G21)+COUNTIF(K15:L15,"*,"&amp;G21&amp;",*")+COUNTIF(N15:O15,G21)+COUNTIF(N15:O15,"*,"&amp;G21&amp;",*")+COUNTIF(B17:C17,G21)+COUNTIF(B17:C17,"*,"&amp;G21&amp;",*")+COUNTIF(E17:F17,G21)+COUNTIF(E17:F17,"*,"&amp;G21&amp;",*")+COUNTIF(H17:I17,G21)+COUNTIF(H17:I17,"*,"&amp;G21&amp;",*")+COUNTIF(K17:L17,G21)+COUNTIF(K17:L17,"*,"&amp;G21&amp;",*")+COUNTIF(N17:O17,G21)+COUNTIF(N17:O17,"*,"&amp;G21&amp;",*")=0,"",COUNTIF(B5:C5,G21)+COUNTIF(B5:C5,"*,"&amp;G21&amp;",*")+COUNTIF(E5:F5,G21)+COUNTIF(E5:F5,"*,"&amp;G21&amp;",*")+COUNTIF(H5:I5,G21)+COUNTIF(H5:I5,"*,"&amp;G21&amp;",*")+COUNTIF(K5:L5,G21)+COUNTIF(K5:L5,"*,"&amp;G21&amp;",*")+COUNTIF(N5:O5,G21)+COUNTIF(N5:O5,"*,"&amp;G21&amp;",*")+COUNTIF(B7:C7,G21)+COUNTIF(B7:C7,"*,"&amp;G21&amp;",*")+COUNTIF(E7:F7,G21)+COUNTIF(E7:F7,"*,"&amp;G21&amp;",*")+COUNTIF(H7:I7,G21)+COUNTIF(H7:I7,"*,"&amp;G21&amp;",*")+COUNTIF(K7:L7,G21)+COUNTIF(K7:L7,"*,"&amp;G21&amp;",*")+COUNTIF(N7:O7,G21)+COUNTIF(N7:O7,"*,"&amp;G21&amp;",*")+COUNTIF(B9:C9,G21)+COUNTIF(B9:C9,"*,"&amp;G21&amp;",*")+COUNTIF(E9:F9,G21)+COUNTIF(E9:F9,"*,"&amp;G21&amp;",*")+COUNTIF(H9:I9,G21)+COUNTIF(H9:I9,"*,"&amp;G21&amp;",*")+COUNTIF(K9:L9,G21)+COUNTIF(K9:L9,"*,"&amp;G21&amp;",*")+COUNTIF(N9:O9,G21)+COUNTIF(N9:O9,"*,"&amp;G21&amp;",*")+COUNTIF(B11:C11,G21)+COUNTIF(B11:C11,"*,"&amp;G21&amp;",*")+COUNTIF(E11:F11,G21)+COUNTIF(E11:F11,"*,"&amp;G21&amp;",*")+COUNTIF(H11:I11,G21)+COUNTIF(H11:I11,"*,"&amp;G21&amp;",*")+COUNTIF(K11:L11,G21)+COUNTIF(K11:L11,"*,"&amp;G21&amp;",*")+COUNTIF(N11:O11,G21)+COUNTIF(N11:O11,"*,"&amp;G21&amp;",*")+COUNTIF(B13:C13,G21)+COUNTIF(B13:C13,"*,"&amp;G21&amp;",*")+COUNTIF(E13:F13,G21)+COUNTIF(E13:F13,"*,"&amp;G21&amp;",*")+COUNTIF(H13:I13,G21)+COUNTIF(H13:I13,"*,"&amp;G21&amp;",*")+COUNTIF(K13:L13,G21)+COUNTIF(K13:L13,"*,"&amp;G21&amp;",*")+COUNTIF(N13:O13,G21)+COUNTIF(N13:O13,"*,"&amp;G21&amp;",*")+COUNTIF(B15:C15,G21)+COUNTIF(B15:C15,"*,"&amp;G21&amp;",*")+COUNTIF(E15:F15,G21)+COUNTIF(E15:F15,"*,"&amp;G21&amp;",*")+COUNTIF(H15:I15,G21)+COUNTIF(H15:I15,"*,"&amp;G21&amp;",*")+COUNTIF(K15:L15,G21)+COUNTIF(K15:L15,"*,"&amp;G21&amp;",*")+COUNTIF(N15:O15,G21)+COUNTIF(N15:O15,"*,"&amp;G21&amp;",*")+COUNTIF(B17:C17,G21)+COUNTIF(B17:C17,"*,"&amp;G21&amp;",*")+COUNTIF(E17:F17,G21)+COUNTIF(E17:F17,"*,"&amp;G21&amp;",*")+COUNTIF(H17:I17,G21)+COUNTIF(H17:I17,"*,"&amp;G21&amp;",*")+COUNTIF(K17:L17,G21)+COUNTIF(K17:L17,"*,"&amp;G21&amp;",*")+COUNTIF(N17:O17,G21)+COUNTIF(N17:O17,"*,"&amp;G21&amp;",*")))</f>
        <v/>
      </c>
      <c r="H24" s="21"/>
      <c r="I24" s="21"/>
      <c r="J24" s="21"/>
      <c r="K24" s="21"/>
      <c r="L24" s="21"/>
      <c r="M24" s="21">
        <f>IF(COUNTIF(B5:C5,"特活")+COUNTIF(B5:C5,"学活")+COUNTIF(E5:F5,"特活")+COUNTIF(E5:F5,"学活")+COUNTIF(H5:I5,"特活")+COUNTIF(H5:I5,"学活")+COUNTIF(K5:L5,"特活")+COUNTIF(K5:L5,"学活")+COUNTIF(N5:O5,"特活")+COUNTIF(N5:O5,"学活")+COUNTIF(B7:C7,"特活")+COUNTIF(B7:C7,"学活")+COUNTIF(E7:F7,"特活")+COUNTIF(E7:F7,"学活")+COUNTIF(H7:I7,"特活")+COUNTIF(H7:I7,"学活")+COUNTIF(K7:L7,"特活")+COUNTIF(K7:L7,"学活")+COUNTIF(N7:O7,"特活")+COUNTIF(N7:O7,"学活")+COUNTIF(B9:C9,"特活")+COUNTIF(B9:C9,"学活")+COUNTIF(E9:F9,"特活")+COUNTIF(E9:F9,"学活")+COUNTIF(H9:I9,"特活")+COUNTIF(H9:I9,"学活")+COUNTIF(K9:L9,"特活")+COUNTIF(K9:L9,"学活")+COUNTIF(N9:O9,"特活")+COUNTIF(N9:O9,"学活")+COUNTIF(B11:C11,"特活")+COUNTIF(B11:C11,"学活")+COUNTIF(E11:F11,"特活")+COUNTIF(E11:F11,"学活")+COUNTIF(H11:I11,"特活")+COUNTIF(H11:I11,"学活")+COUNTIF(K11:L11,"特活")+COUNTIF(K11:L11,"学活")+COUNTIF(N11:O11,"特活")+COUNTIF(N11:O11,"学活")+COUNTIF(B13:C13,"特活")+COUNTIF(B13:C13,"学活")+COUNTIF(E13:F13,"特活")+COUNTIF(E13:F13,"学活")+COUNTIF(H13:I13,"特活")+COUNTIF(H13:I13,"学活")+COUNTIF(K13:L13,"特活")+COUNTIF(K13:L13,"学活")+COUNTIF(N13:O13,"特活")+COUNTIF(N13:O13,"学活")+COUNTIF(B15:C15,"特活")+COUNTIF(B15:C15,"学活")+COUNTIF(E15:F15,"特活")+COUNTIF(E15:F15,"学活")+COUNTIF(H15:I15,"特活")+COUNTIF(H15:I15,"学活")+COUNTIF(K15:L15,"特活")+COUNTIF(K15:L15,"学活")+COUNTIF(N15:O15,"特活")+COUNTIF(N15:O15,"学活")+COUNTIF(B17:C17,"特活")+COUNTIF(B17:C17,"学活")+COUNTIF(E17:F17,"特活")+COUNTIF(E17:F17,"学活")+COUNTIF(H17:I17,"特活")+COUNTIF(H17:I17,"学活")+COUNTIF(K17:L17,"特活")+COUNTIF(K17:L17,"学活")+COUNTIF(N17:O17,"特活")+COUNTIF(N17:O17,"学活")=0,"",COUNTIF(B5:C5,"特活")+COUNTIF(B5:C5,"学活")+COUNTIF(E5:F5,"特活")+COUNTIF(E5:F5,"学活")+COUNTIF(H5:I5,"特活")+COUNTIF(H5:I5,"学活")+COUNTIF(K5:L5,"特活")+COUNTIF(K5:L5,"学活")+COUNTIF(N5:O5,"特活")+COUNTIF(N5:O5,"学活")+COUNTIF(B7:C7,"特活")+COUNTIF(B7:C7,"学活")+COUNTIF(E7:F7,"特活")+COUNTIF(E7:F7,"学活")+COUNTIF(H7:I7,"特活")+COUNTIF(H7:I7,"学活")+COUNTIF(K7:L7,"特活")+COUNTIF(K7:L7,"学活")+COUNTIF(N7:O7,"特活")+COUNTIF(N7:O7,"学活")+COUNTIF(B9:C9,"特活")+COUNTIF(B9:C9,"学活")+COUNTIF(E9:F9,"特活")+COUNTIF(E9:F9,"学活")+COUNTIF(H9:I9,"特活")+COUNTIF(H9:I9,"学活")+COUNTIF(K9:L9,"特活")+COUNTIF(K9:L9,"学活")+COUNTIF(N9:O9,"特活")+COUNTIF(N9:O9,"学活")+COUNTIF(B11:C11,"特活")+COUNTIF(B11:C11,"学活")+COUNTIF(E11:F11,"特活")+COUNTIF(E11:F11,"学活")+COUNTIF(H11:I11,"特活")+COUNTIF(H11:I11,"学活")+COUNTIF(K11:L11,"特活")+COUNTIF(K11:L11,"学活")+COUNTIF(N11:O11,"特活")+COUNTIF(N11:O11,"学活")+COUNTIF(B13:C13,"特活")+COUNTIF(B13:C13,"学活")+COUNTIF(E13:F13,"特活")+COUNTIF(E13:F13,"学活")+COUNTIF(H13:I13,"特活")+COUNTIF(H13:I13,"学活")+COUNTIF(K13:L13,"特活")+COUNTIF(K13:L13,"学活")+COUNTIF(N13:O13,"特活")+COUNTIF(N13:O13,"学活")+COUNTIF(B15:C15,"特活")+COUNTIF(B15:C15,"学活")+COUNTIF(E15:F15,"特活")+COUNTIF(E15:F15,"学活")+COUNTIF(H15:I15,"特活")+COUNTIF(H15:I15,"学活")+COUNTIF(K15:L15,"特活")+COUNTIF(K15:L15,"学活")+COUNTIF(N15:O15,"特活")+COUNTIF(N15:O15,"学活")+COUNTIF(B17:C17,"特活")+COUNTIF(B17:C17,"学活")+COUNTIF(E17:F17,"特活")+COUNTIF(E17:F17,"学活")+COUNTIF(H17:I17,"特活")+COUNTIF(H17:I17,"学活")+COUNTIF(K17:L17,"特活")+COUNTIF(K17:L17,"学活")+COUNTIF(N17:O17,"特活")+COUNTIF(N17:O17,"学活"))</f>
        <v/>
      </c>
      <c r="N24" s="21">
        <f>IF(COUNTIF(B5:C5,N21)+COUNTIF(B5:C5,"*,"&amp;N21&amp;",*")+COUNTIF(E5:F5,N21)+COUNTIF(E5:F5,"*,"&amp;N21&amp;",*")+COUNTIF(H5:I5,N21)+COUNTIF(H5:I5,"*,"&amp;N21&amp;",*")+COUNTIF(K5:L5,N21)+COUNTIF(K5:L5,"*,"&amp;N21&amp;",*")+COUNTIF(N5:O5,N21)+COUNTIF(N5:O5,"*,"&amp;N21&amp;",*")+COUNTIF(B7:C7,N21)+COUNTIF(B7:C7,"*,"&amp;N21&amp;",*")+COUNTIF(E7:F7,N21)+COUNTIF(E7:F7,"*,"&amp;N21&amp;",*")+COUNTIF(H7:I7,N21)+COUNTIF(H7:I7,"*,"&amp;N21&amp;",*")+COUNTIF(K7:L7,N21)+COUNTIF(K7:L7,"*,"&amp;N21&amp;",*")+COUNTIF(N7:O7,N21)+COUNTIF(N7:O7,"*,"&amp;N21&amp;",*")+COUNTIF(B9:C9,N21)+COUNTIF(B9:C9,"*,"&amp;N21&amp;",*")+COUNTIF(E9:F9,N21)+COUNTIF(E9:F9,"*,"&amp;N21&amp;",*")+COUNTIF(H9:I9,N21)+COUNTIF(H9:I9,"*,"&amp;N21&amp;",*")+COUNTIF(K9:L9,N21)+COUNTIF(K9:L9,"*,"&amp;N21&amp;",*")+COUNTIF(N9:O9,N21)+COUNTIF(N9:O9,"*,"&amp;N21&amp;",*")+COUNTIF(B11:C11,N21)+COUNTIF(B11:C11,"*,"&amp;N21&amp;",*")+COUNTIF(E11:F11,N21)+COUNTIF(E11:F11,"*,"&amp;N21&amp;",*")+COUNTIF(H11:I11,N21)+COUNTIF(H11:I11,"*,"&amp;N21&amp;",*")+COUNTIF(K11:L11,N21)+COUNTIF(K11:L11,"*,"&amp;N21&amp;",*")+COUNTIF(N11:O11,N21)+COUNTIF(N11:O11,"*,"&amp;N21&amp;",*")+COUNTIF(B13:C13,N21)+COUNTIF(B13:C13,"*,"&amp;N21&amp;",*")+COUNTIF(E13:F13,N21)+COUNTIF(E13:F13,"*,"&amp;N21&amp;",*")+COUNTIF(H13:I13,N21)+COUNTIF(H13:I13,"*,"&amp;N21&amp;",*")+COUNTIF(K13:L13,N21)+COUNTIF(K13:L13,"*,"&amp;N21&amp;",*")+COUNTIF(N13:O13,N21)+COUNTIF(N13:O13,"*,"&amp;N21&amp;",*")+COUNTIF(B15:C15,N21)+COUNTIF(B15:C15,"*,"&amp;N21&amp;",*")+COUNTIF(E15:F15,N21)+COUNTIF(E15:F15,"*,"&amp;N21&amp;",*")+COUNTIF(H15:I15,N21)+COUNTIF(H15:I15,"*,"&amp;N21&amp;",*")+COUNTIF(K15:L15,N21)+COUNTIF(K15:L15,"*,"&amp;N21&amp;",*")+COUNTIF(N15:O15,N21)+COUNTIF(N15:O15,"*,"&amp;N21&amp;",*")+COUNTIF(B17:C17,N21)+COUNTIF(B17:C17,"*,"&amp;N21&amp;",*")+COUNTIF(E17:F17,N21)+COUNTIF(E17:F17,"*,"&amp;N21&amp;",*")+COUNTIF(H17:I17,N21)+COUNTIF(H17:I17,"*,"&amp;N21&amp;",*")+COUNTIF(K17:L17,N21)+COUNTIF(K17:L17,"*,"&amp;N21&amp;",*")+COUNTIF(N17:O17,N21)+COUNTIF(N17:O17,"*,"&amp;N21&amp;",*")=0,"",COUNTIF(B5:C5,N21)+COUNTIF(B5:C5,"*,"&amp;N21&amp;",*")+COUNTIF(E5:F5,N21)+COUNTIF(E5:F5,"*,"&amp;N21&amp;",*")+COUNTIF(H5:I5,N21)+COUNTIF(H5:I5,"*,"&amp;N21&amp;",*")+COUNTIF(K5:L5,N21)+COUNTIF(K5:L5,"*,"&amp;N21&amp;",*")+COUNTIF(N5:O5,N21)+COUNTIF(N5:O5,"*,"&amp;N21&amp;",*")+COUNTIF(B7:C7,N21)+COUNTIF(B7:C7,"*,"&amp;N21&amp;",*")+COUNTIF(E7:F7,N21)+COUNTIF(E7:F7,"*,"&amp;N21&amp;",*")+COUNTIF(H7:I7,N21)+COUNTIF(H7:I7,"*,"&amp;N21&amp;",*")+COUNTIF(K7:L7,N21)+COUNTIF(K7:L7,"*,"&amp;N21&amp;",*")+COUNTIF(N7:O7,N21)+COUNTIF(N7:O7,"*,"&amp;N21&amp;",*")+COUNTIF(B9:C9,N21)+COUNTIF(B9:C9,"*,"&amp;N21&amp;",*")+COUNTIF(E9:F9,N21)+COUNTIF(E9:F9,"*,"&amp;N21&amp;",*")+COUNTIF(H9:I9,N21)+COUNTIF(H9:I9,"*,"&amp;N21&amp;",*")+COUNTIF(K9:L9,N21)+COUNTIF(K9:L9,"*,"&amp;N21&amp;",*")+COUNTIF(N9:O9,N21)+COUNTIF(N9:O9,"*,"&amp;N21&amp;",*")+COUNTIF(B11:C11,N21)+COUNTIF(B11:C11,"*,"&amp;N21&amp;",*")+COUNTIF(E11:F11,N21)+COUNTIF(E11:F11,"*,"&amp;N21&amp;",*")+COUNTIF(H11:I11,N21)+COUNTIF(H11:I11,"*,"&amp;N21&amp;",*")+COUNTIF(K11:L11,N21)+COUNTIF(K11:L11,"*,"&amp;N21&amp;",*")+COUNTIF(N11:O11,N21)+COUNTIF(N11:O11,"*,"&amp;N21&amp;",*")+COUNTIF(B13:C13,N21)+COUNTIF(B13:C13,"*,"&amp;N21&amp;",*")+COUNTIF(E13:F13,N21)+COUNTIF(E13:F13,"*,"&amp;N21&amp;",*")+COUNTIF(H13:I13,N21)+COUNTIF(H13:I13,"*,"&amp;N21&amp;",*")+COUNTIF(K13:L13,N21)+COUNTIF(K13:L13,"*,"&amp;N21&amp;",*")+COUNTIF(N13:O13,N21)+COUNTIF(N13:O13,"*,"&amp;N21&amp;",*")+COUNTIF(B15:C15,N21)+COUNTIF(B15:C15,"*,"&amp;N21&amp;",*")+COUNTIF(E15:F15,N21)+COUNTIF(E15:F15,"*,"&amp;N21&amp;",*")+COUNTIF(H15:I15,N21)+COUNTIF(H15:I15,"*,"&amp;N21&amp;",*")+COUNTIF(K15:L15,N21)+COUNTIF(K15:L15,"*,"&amp;N21&amp;",*")+COUNTIF(N15:O15,N21)+COUNTIF(N15:O15,"*,"&amp;N21&amp;",*")+COUNTIF(B17:C17,N21)+COUNTIF(B17:C17,"*,"&amp;N21&amp;",*")+COUNTIF(E17:F17,N21)+COUNTIF(E17:F17,"*,"&amp;N21&amp;",*")+COUNTIF(H17:I17,N21)+COUNTIF(H17:I17,"*,"&amp;N21&amp;",*")+COUNTIF(K17:L17,N21)+COUNTIF(K17:L17,"*,"&amp;N21&amp;",*")+COUNTIF(N17:O17,N21)+COUNTIF(N17:O17,"*,"&amp;N21&amp;",*"))</f>
        <v/>
      </c>
      <c r="O24" s="21">
        <f>IF(COUNTIF(B5:C5,O21)+COUNTIF(B5:C5,"*,"&amp;O21&amp;",*")+COUNTIF(E5:F5,O21)+COUNTIF(E5:F5,"*,"&amp;O21&amp;",*")+COUNTIF(H5:I5,O21)+COUNTIF(H5:I5,"*,"&amp;O21&amp;",*")+COUNTIF(K5:L5,O21)+COUNTIF(K5:L5,"*,"&amp;O21&amp;",*")+COUNTIF(N5:O5,O21)+COUNTIF(N5:O5,"*,"&amp;O21&amp;",*")+COUNTIF(B7:C7,O21)+COUNTIF(B7:C7,"*,"&amp;O21&amp;",*")+COUNTIF(E7:F7,O21)+COUNTIF(E7:F7,"*,"&amp;O21&amp;",*")+COUNTIF(H7:I7,O21)+COUNTIF(H7:I7,"*,"&amp;O21&amp;",*")+COUNTIF(K7:L7,O21)+COUNTIF(K7:L7,"*,"&amp;O21&amp;",*")+COUNTIF(N7:O7,O21)+COUNTIF(N7:O7,"*,"&amp;O21&amp;",*")+COUNTIF(B9:C9,O21)+COUNTIF(B9:C9,"*,"&amp;O21&amp;",*")+COUNTIF(E9:F9,O21)+COUNTIF(E9:F9,"*,"&amp;O21&amp;",*")+COUNTIF(H9:I9,O21)+COUNTIF(H9:I9,"*,"&amp;O21&amp;",*")+COUNTIF(K9:L9,O21)+COUNTIF(K9:L9,"*,"&amp;O21&amp;",*")+COUNTIF(N9:O9,O21)+COUNTIF(N9:O9,"*,"&amp;O21&amp;",*")+COUNTIF(B11:C11,O21)+COUNTIF(B11:C11,"*,"&amp;O21&amp;",*")+COUNTIF(E11:F11,O21)+COUNTIF(E11:F11,"*,"&amp;O21&amp;",*")+COUNTIF(H11:I11,O21)+COUNTIF(H11:I11,"*,"&amp;O21&amp;",*")+COUNTIF(K11:L11,O21)+COUNTIF(K11:L11,"*,"&amp;O21&amp;",*")+COUNTIF(N11:O11,O21)+COUNTIF(N11:O11,"*,"&amp;O21&amp;",*")+COUNTIF(B13:C13,O21)+COUNTIF(B13:C13,"*,"&amp;O21&amp;",*")+COUNTIF(E13:F13,O21)+COUNTIF(E13:F13,"*,"&amp;O21&amp;",*")+COUNTIF(H13:I13,O21)+COUNTIF(H13:I13,"*,"&amp;O21&amp;",*")+COUNTIF(K13:L13,O21)+COUNTIF(K13:L13,"*,"&amp;O21&amp;",*")+COUNTIF(N13:O13,O21)+COUNTIF(N13:O13,"*,"&amp;O21&amp;",*")+COUNTIF(B15:C15,O21)+COUNTIF(B15:C15,"*,"&amp;O21&amp;",*")+COUNTIF(E15:F15,O21)+COUNTIF(E15:F15,"*,"&amp;O21&amp;",*")+COUNTIF(H15:I15,O21)+COUNTIF(H15:I15,"*,"&amp;O21&amp;",*")+COUNTIF(K15:L15,O21)+COUNTIF(K15:L15,"*,"&amp;O21&amp;",*")+COUNTIF(N15:O15,O21)+COUNTIF(N15:O15,"*,"&amp;O21&amp;",*")+COUNTIF(B17:C17,O21)+COUNTIF(B17:C17,"*,"&amp;O21&amp;",*")+COUNTIF(E17:F17,O21)+COUNTIF(E17:F17,"*,"&amp;O21&amp;",*")+COUNTIF(H17:I17,O21)+COUNTIF(H17:I17,"*,"&amp;O21&amp;",*")+COUNTIF(K17:L17,O21)+COUNTIF(K17:L17,"*,"&amp;O21&amp;",*")+COUNTIF(N17:O17,O21)+COUNTIF(N17:O17,"*,"&amp;O21&amp;",*")=0,"",COUNTIF(B5:C5,O21)+COUNTIF(B5:C5,"*,"&amp;O21&amp;",*")+COUNTIF(E5:F5,O21)+COUNTIF(E5:F5,"*,"&amp;O21&amp;",*")+COUNTIF(H5:I5,O21)+COUNTIF(H5:I5,"*,"&amp;O21&amp;",*")+COUNTIF(K5:L5,O21)+COUNTIF(K5:L5,"*,"&amp;O21&amp;",*")+COUNTIF(N5:O5,O21)+COUNTIF(N5:O5,"*,"&amp;O21&amp;",*")+COUNTIF(B7:C7,O21)+COUNTIF(B7:C7,"*,"&amp;O21&amp;",*")+COUNTIF(E7:F7,O21)+COUNTIF(E7:F7,"*,"&amp;O21&amp;",*")+COUNTIF(H7:I7,O21)+COUNTIF(H7:I7,"*,"&amp;O21&amp;",*")+COUNTIF(K7:L7,O21)+COUNTIF(K7:L7,"*,"&amp;O21&amp;",*")+COUNTIF(N7:O7,O21)+COUNTIF(N7:O7,"*,"&amp;O21&amp;",*")+COUNTIF(B9:C9,O21)+COUNTIF(B9:C9,"*,"&amp;O21&amp;",*")+COUNTIF(E9:F9,O21)+COUNTIF(E9:F9,"*,"&amp;O21&amp;",*")+COUNTIF(H9:I9,O21)+COUNTIF(H9:I9,"*,"&amp;O21&amp;",*")+COUNTIF(K9:L9,O21)+COUNTIF(K9:L9,"*,"&amp;O21&amp;",*")+COUNTIF(N9:O9,O21)+COUNTIF(N9:O9,"*,"&amp;O21&amp;",*")+COUNTIF(B11:C11,O21)+COUNTIF(B11:C11,"*,"&amp;O21&amp;",*")+COUNTIF(E11:F11,O21)+COUNTIF(E11:F11,"*,"&amp;O21&amp;",*")+COUNTIF(H11:I11,O21)+COUNTIF(H11:I11,"*,"&amp;O21&amp;",*")+COUNTIF(K11:L11,O21)+COUNTIF(K11:L11,"*,"&amp;O21&amp;",*")+COUNTIF(N11:O11,O21)+COUNTIF(N11:O11,"*,"&amp;O21&amp;",*")+COUNTIF(B13:C13,O21)+COUNTIF(B13:C13,"*,"&amp;O21&amp;",*")+COUNTIF(E13:F13,O21)+COUNTIF(E13:F13,"*,"&amp;O21&amp;",*")+COUNTIF(H13:I13,O21)+COUNTIF(H13:I13,"*,"&amp;O21&amp;",*")+COUNTIF(K13:L13,O21)+COUNTIF(K13:L13,"*,"&amp;O21&amp;",*")+COUNTIF(N13:O13,O21)+COUNTIF(N13:O13,"*,"&amp;O21&amp;",*")+COUNTIF(B15:C15,O21)+COUNTIF(B15:C15,"*,"&amp;O21&amp;",*")+COUNTIF(E15:F15,O21)+COUNTIF(E15:F15,"*,"&amp;O21&amp;",*")+COUNTIF(H15:I15,O21)+COUNTIF(H15:I15,"*,"&amp;O21&amp;",*")+COUNTIF(K15:L15,O21)+COUNTIF(K15:L15,"*,"&amp;O21&amp;",*")+COUNTIF(N15:O15,O21)+COUNTIF(N15:O15,"*,"&amp;O21&amp;",*")+COUNTIF(B17:C17,O21)+COUNTIF(B17:C17,"*,"&amp;O21&amp;",*")+COUNTIF(E17:F17,O21)+COUNTIF(E17:F17,"*,"&amp;O21&amp;",*")+COUNTIF(H17:I17,O21)+COUNTIF(H17:I17,"*,"&amp;O21&amp;",*")+COUNTIF(K17:L17,O21)+COUNTIF(K17:L17,"*,"&amp;O21&amp;",*")+COUNTIF(N17:O17,O21)+COUNTIF(N17:O17,"*,"&amp;O21&amp;",*"))</f>
        <v/>
      </c>
      <c r="P24" s="22">
        <f>IF(SUM(B24:O24)=0,"",SUM(B24:O24))</f>
        <v/>
      </c>
    </row>
    <row r="25" spans="1:16" ht="13.5" customHeight="1" x14ac:dyDescent="0.2">
      <c r="A25" s="23" t="s">
        <v>52</v>
      </c>
      <c r="B25" s="26"/>
      <c r="C25" s="26"/>
      <c r="D25" s="26"/>
      <c r="E25" s="26"/>
      <c r="F25" s="26"/>
      <c r="G25" s="26"/>
      <c r="H25" s="26"/>
      <c r="I25" s="26"/>
      <c r="J25" s="26"/>
      <c r="K25" s="26"/>
      <c r="L25" s="26"/>
      <c r="M25" s="26"/>
      <c r="N25" s="26"/>
      <c r="O25" s="24"/>
      <c r="P25" s="18">
        <f>IF(SUM(B25:O25)=0,"",SUM(B25:O25))</f>
        <v/>
      </c>
    </row>
  </sheetData>
  <sheetProtection sheet="1" objects="1" scenarios="1"/>
  <mergeCells count="104">
    <mergeCell ref="N19:P19"/>
    <mergeCell ref="A23:A24"/>
    <mergeCell ref="N17:O17"/>
    <mergeCell ref="B18:D18"/>
    <mergeCell ref="E18:G18"/>
    <mergeCell ref="H18:J18"/>
    <mergeCell ref="K18:M18"/>
    <mergeCell ref="N18:P18"/>
    <mergeCell ref="A17:A18"/>
    <mergeCell ref="B17:C17"/>
    <mergeCell ref="E17:F17"/>
    <mergeCell ref="H17:I17"/>
    <mergeCell ref="K17:L17"/>
    <mergeCell ref="B19:D19"/>
    <mergeCell ref="E19:G19"/>
    <mergeCell ref="H19:J19"/>
    <mergeCell ref="K19:M19"/>
    <mergeCell ref="A15:A16"/>
    <mergeCell ref="B15:C15"/>
    <mergeCell ref="E15:F15"/>
    <mergeCell ref="H15:I15"/>
    <mergeCell ref="K15:L15"/>
    <mergeCell ref="N15:O15"/>
    <mergeCell ref="B16:D16"/>
    <mergeCell ref="E16:G16"/>
    <mergeCell ref="H16:J16"/>
    <mergeCell ref="K16:M16"/>
    <mergeCell ref="N16:P16"/>
    <mergeCell ref="A13:A14"/>
    <mergeCell ref="B13:C13"/>
    <mergeCell ref="E13:F13"/>
    <mergeCell ref="H13:I13"/>
    <mergeCell ref="K13:L13"/>
    <mergeCell ref="N13:O13"/>
    <mergeCell ref="B14:D14"/>
    <mergeCell ref="E14:G14"/>
    <mergeCell ref="H14:J14"/>
    <mergeCell ref="K14:M14"/>
    <mergeCell ref="N14:P14"/>
    <mergeCell ref="A11:A12"/>
    <mergeCell ref="B11:C11"/>
    <mergeCell ref="E11:F11"/>
    <mergeCell ref="H11:I11"/>
    <mergeCell ref="K11:L11"/>
    <mergeCell ref="N11:O11"/>
    <mergeCell ref="B12:D12"/>
    <mergeCell ref="E12:G12"/>
    <mergeCell ref="H12:J12"/>
    <mergeCell ref="K12:M12"/>
    <mergeCell ref="N12:P12"/>
    <mergeCell ref="N8:P8"/>
    <mergeCell ref="A9:A10"/>
    <mergeCell ref="B9:C9"/>
    <mergeCell ref="E9:F9"/>
    <mergeCell ref="H9:I9"/>
    <mergeCell ref="K9:L9"/>
    <mergeCell ref="N9:O9"/>
    <mergeCell ref="B10:D10"/>
    <mergeCell ref="E10:G10"/>
    <mergeCell ref="H10:J10"/>
    <mergeCell ref="A7:A8"/>
    <mergeCell ref="B7:C7"/>
    <mergeCell ref="E7:F7"/>
    <mergeCell ref="H7:I7"/>
    <mergeCell ref="K7:L7"/>
    <mergeCell ref="N7:O7"/>
    <mergeCell ref="B8:D8"/>
    <mergeCell ref="E8:G8"/>
    <mergeCell ref="H8:J8"/>
    <mergeCell ref="K8:M8"/>
    <mergeCell ref="K10:M10"/>
    <mergeCell ref="N10:P10"/>
    <mergeCell ref="A5:A6"/>
    <mergeCell ref="B5:C5"/>
    <mergeCell ref="E5:F5"/>
    <mergeCell ref="H5:I5"/>
    <mergeCell ref="K5:L5"/>
    <mergeCell ref="N2:P2"/>
    <mergeCell ref="B3:D3"/>
    <mergeCell ref="E3:G3"/>
    <mergeCell ref="H3:J3"/>
    <mergeCell ref="K3:M3"/>
    <mergeCell ref="N3:P3"/>
    <mergeCell ref="N5:O5"/>
    <mergeCell ref="B6:D6"/>
    <mergeCell ref="E6:G6"/>
    <mergeCell ref="H6:J6"/>
    <mergeCell ref="K6:M6"/>
    <mergeCell ref="N6:P6"/>
    <mergeCell ref="B4:D4"/>
    <mergeCell ref="E4:G4"/>
    <mergeCell ref="H4:J4"/>
    <mergeCell ref="K4:M4"/>
    <mergeCell ref="N4:P4"/>
    <mergeCell ref="A1:G1"/>
    <mergeCell ref="I1:J1"/>
    <mergeCell ref="K1:L1"/>
    <mergeCell ref="M1:N1"/>
    <mergeCell ref="O1:P1"/>
    <mergeCell ref="A2:A3"/>
    <mergeCell ref="B2:D2"/>
    <mergeCell ref="E2:G2"/>
    <mergeCell ref="H2:J2"/>
    <mergeCell ref="K2:M2"/>
  </mergeCells>
  <phoneticPr fontId="5"/>
  <dataValidations count="1">
    <dataValidation type="list" allowBlank="1" showInputMessage="1" sqref="D5 P17 M17 J17 G17 D17 P15 M15 J15 G15 D15 P13 M13 J13 G13 D13 P11 M11 J11 G11 D11 P9 M9 J9 G9 D9 P7 M7 J7 G7 D7 P5 M5 J5 G5" xr:uid="{AA92E650-F92D-45FA-88EE-3268C04743B9}">
      <formula1>"×,月1,月2,月3,月4,月5,月6,月7,火1,火2,火3,火4,火5,火6,火7,水1,水2,水3,水4,水5,水6,水7,木1,木2,木3,木4,木5,木6,木7,金1,金2,金3,金4,金5,金6,金7"</formula1>
    </dataValidation>
  </dataValidations>
  <printOptions horizontalCentered="1"/>
  <pageMargins left="0.78740157480314965" right="0.78740157480314965" top="0.78740157480314965" bottom="0.78740157480314965" header="0" footer="0"/>
  <pageSetup paperSize="9" scale="93"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tn_0">
              <controlPr defaultSize="0" print="0" autoFill="0" autoPict="0" macro="[0]!ボタン_新しい週">
                <anchor moveWithCells="1" sizeWithCells="1">
                  <from>
                    <xdr:col>17</xdr:col>
                    <xdr:colOff>60960</xdr:colOff>
                    <xdr:row>3</xdr:row>
                    <xdr:rowOff>30480</xdr:rowOff>
                  </from>
                  <to>
                    <xdr:col>18</xdr:col>
                    <xdr:colOff>533400</xdr:colOff>
                    <xdr:row>3</xdr:row>
                    <xdr:rowOff>335280</xdr:rowOff>
                  </to>
                </anchor>
              </controlPr>
            </control>
          </mc:Choice>
        </mc:AlternateContent>
        <mc:AlternateContent xmlns:mc="http://schemas.openxmlformats.org/markup-compatibility/2006">
          <mc:Choice Requires="x14">
            <control shapeId="34818" r:id="rId5" name="Btn_1">
              <controlPr defaultSize="0" print="0" autoFill="0" autoPict="0" macro="[0]!ボタン_時間割展開">
                <anchor moveWithCells="1" sizeWithCells="1">
                  <from>
                    <xdr:col>17</xdr:col>
                    <xdr:colOff>60960</xdr:colOff>
                    <xdr:row>3</xdr:row>
                    <xdr:rowOff>441960</xdr:rowOff>
                  </from>
                  <to>
                    <xdr:col>18</xdr:col>
                    <xdr:colOff>533400</xdr:colOff>
                    <xdr:row>4</xdr:row>
                    <xdr:rowOff>45720</xdr:rowOff>
                  </to>
                </anchor>
              </controlPr>
            </control>
          </mc:Choice>
        </mc:AlternateContent>
        <mc:AlternateContent xmlns:mc="http://schemas.openxmlformats.org/markup-compatibility/2006">
          <mc:Choice Requires="x14">
            <control shapeId="34819" r:id="rId6" name="Btn_2">
              <controlPr defaultSize="0" print="0" autoFill="0" autoPict="0" macro="[0]!ボタン_累計更新">
                <anchor moveWithCells="1" sizeWithCells="1">
                  <from>
                    <xdr:col>17</xdr:col>
                    <xdr:colOff>60960</xdr:colOff>
                    <xdr:row>4</xdr:row>
                    <xdr:rowOff>144780</xdr:rowOff>
                  </from>
                  <to>
                    <xdr:col>18</xdr:col>
                    <xdr:colOff>533400</xdr:colOff>
                    <xdr:row>5</xdr:row>
                    <xdr:rowOff>220980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xr:uid="{E8F1C269-9990-4B1D-AB42-32497739C675}">
          <x14:formula1>
            <xm:f>基本設定!$B$6:$B$20</xm:f>
          </x14:formula1>
          <xm:sqref>B5 N19 K19 H19 E19 B19 N17 K17 H17 E17 B17 N15 K15 H15 E15 B15 N13 K13 H13 E13 B13 N11 K11 H11 E11 B11 N9 K9 H9 E9 B9 N7 K7 H7 E7 B7 N5 K5 H5 E5</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5239C0-3947-4282-8A9E-DAC795F3FB25}">
  <sheetPr codeName="Sheet19">
    <tabColor rgb="FFC0392B"/>
    <pageSetUpPr fitToPage="1"/>
  </sheetPr>
  <dimension ref="A1:P25"/>
  <sheetViews>
    <sheetView tabSelected="1" workbookViewId="0">
      <selection activeCell="H14" sqref="H14:J14"/>
    </sheetView>
  </sheetViews>
  <sheetFormatPr defaultColWidth="8.77734375" defaultRowHeight="13.2" x14ac:dyDescent="0.2"/>
  <cols>
    <col min="1" max="1" width="5.44140625" customWidth="1"/>
    <col min="2" max="16" width="5.77734375" customWidth="1"/>
  </cols>
  <sheetData>
    <row r="1" spans="1:16" ht="50.1" customHeight="1" x14ac:dyDescent="0.2">
      <c r="A1" s="51" t="s">
        <v>34</v>
      </c>
      <c r="B1" s="52"/>
      <c r="C1" s="52"/>
      <c r="D1" s="52"/>
      <c r="E1" s="52"/>
      <c r="F1" s="52"/>
      <c r="G1" s="52"/>
      <c r="H1" s="8" t="s">
        <v>35</v>
      </c>
      <c r="I1" s="53" t="s">
        <v>36</v>
      </c>
      <c r="J1" s="54"/>
      <c r="K1" s="53" t="s">
        <v>37</v>
      </c>
      <c r="L1" s="54"/>
      <c r="M1" s="53" t="s">
        <v>38</v>
      </c>
      <c r="N1" s="54"/>
      <c r="O1" s="53" t="s">
        <v>39</v>
      </c>
      <c r="P1" s="54"/>
    </row>
    <row r="2" spans="1:16" ht="15.6" customHeight="1" x14ac:dyDescent="0.2">
      <c r="A2" s="55" t="s">
        <v>40</v>
      </c>
      <c r="B2" s="57" t="s">
        <v>29</v>
      </c>
      <c r="C2" s="57"/>
      <c r="D2" s="57"/>
      <c r="E2" s="59" t="s">
        <v>30</v>
      </c>
      <c r="F2" s="59"/>
      <c r="G2" s="59"/>
      <c r="H2" s="45" t="s">
        <v>31</v>
      </c>
      <c r="I2" s="45"/>
      <c r="J2" s="45"/>
      <c r="K2" s="47" t="s">
        <v>32</v>
      </c>
      <c r="L2" s="47"/>
      <c r="M2" s="47"/>
      <c r="N2" s="49" t="s">
        <v>33</v>
      </c>
      <c r="O2" s="49"/>
      <c r="P2" s="49"/>
    </row>
    <row r="3" spans="1:16" ht="15" customHeight="1" x14ac:dyDescent="0.2">
      <c r="A3" s="56"/>
      <c r="B3" s="58" t="s">
        <v>41</v>
      </c>
      <c r="C3" s="58"/>
      <c r="D3" s="58"/>
      <c r="E3" s="60" t="s">
        <v>42</v>
      </c>
      <c r="F3" s="60"/>
      <c r="G3" s="60"/>
      <c r="H3" s="46" t="s">
        <v>43</v>
      </c>
      <c r="I3" s="46"/>
      <c r="J3" s="46"/>
      <c r="K3" s="48" t="s">
        <v>44</v>
      </c>
      <c r="L3" s="48"/>
      <c r="M3" s="48"/>
      <c r="N3" s="50" t="s">
        <v>45</v>
      </c>
      <c r="O3" s="50"/>
      <c r="P3" s="50"/>
    </row>
    <row r="4" spans="1:16" ht="54.9" customHeight="1" x14ac:dyDescent="0.2">
      <c r="A4" s="9" t="s">
        <v>46</v>
      </c>
      <c r="B4" s="40"/>
      <c r="C4" s="40"/>
      <c r="D4" s="40"/>
      <c r="E4" s="41"/>
      <c r="F4" s="41"/>
      <c r="G4" s="41"/>
      <c r="H4" s="42"/>
      <c r="I4" s="42"/>
      <c r="J4" s="42"/>
      <c r="K4" s="43"/>
      <c r="L4" s="43"/>
      <c r="M4" s="43"/>
      <c r="N4" s="44"/>
      <c r="O4" s="44"/>
      <c r="P4" s="44"/>
    </row>
    <row r="5" spans="1:16" ht="18" customHeight="1" x14ac:dyDescent="0.2">
      <c r="A5" s="39">
        <v>1</v>
      </c>
      <c r="B5" s="37"/>
      <c r="C5" s="37"/>
      <c r="D5" s="25"/>
      <c r="E5" s="37"/>
      <c r="F5" s="37"/>
      <c r="G5" s="25"/>
      <c r="H5" s="37"/>
      <c r="I5" s="37"/>
      <c r="J5" s="25"/>
      <c r="K5" s="37"/>
      <c r="L5" s="37"/>
      <c r="M5" s="25"/>
      <c r="N5" s="37"/>
      <c r="O5" s="37"/>
      <c r="P5" s="25"/>
    </row>
    <row r="6" spans="1:16" ht="62.1" customHeight="1" x14ac:dyDescent="0.2">
      <c r="A6" s="39"/>
      <c r="B6" s="38"/>
      <c r="C6" s="38"/>
      <c r="D6" s="38"/>
      <c r="E6" s="38"/>
      <c r="F6" s="38"/>
      <c r="G6" s="38"/>
      <c r="H6" s="38"/>
      <c r="I6" s="38"/>
      <c r="J6" s="38"/>
      <c r="K6" s="38"/>
      <c r="L6" s="38"/>
      <c r="M6" s="38"/>
      <c r="N6" s="38"/>
      <c r="O6" s="38"/>
      <c r="P6" s="38"/>
    </row>
    <row r="7" spans="1:16" ht="18" customHeight="1" x14ac:dyDescent="0.2">
      <c r="A7" s="39">
        <v>2</v>
      </c>
      <c r="B7" s="37"/>
      <c r="C7" s="37"/>
      <c r="D7" s="25"/>
      <c r="E7" s="37"/>
      <c r="F7" s="37"/>
      <c r="G7" s="25"/>
      <c r="H7" s="37"/>
      <c r="I7" s="37"/>
      <c r="J7" s="25"/>
      <c r="K7" s="37"/>
      <c r="L7" s="37"/>
      <c r="M7" s="25"/>
      <c r="N7" s="37"/>
      <c r="O7" s="37"/>
      <c r="P7" s="25"/>
    </row>
    <row r="8" spans="1:16" ht="62.1" customHeight="1" x14ac:dyDescent="0.2">
      <c r="A8" s="39"/>
      <c r="B8" s="38"/>
      <c r="C8" s="38"/>
      <c r="D8" s="38"/>
      <c r="E8" s="38"/>
      <c r="F8" s="38"/>
      <c r="G8" s="38"/>
      <c r="H8" s="38"/>
      <c r="I8" s="38"/>
      <c r="J8" s="38"/>
      <c r="K8" s="38"/>
      <c r="L8" s="38"/>
      <c r="M8" s="38"/>
      <c r="N8" s="38"/>
      <c r="O8" s="38"/>
      <c r="P8" s="38"/>
    </row>
    <row r="9" spans="1:16" ht="18" customHeight="1" x14ac:dyDescent="0.2">
      <c r="A9" s="39">
        <v>3</v>
      </c>
      <c r="B9" s="37"/>
      <c r="C9" s="37"/>
      <c r="D9" s="25"/>
      <c r="E9" s="37"/>
      <c r="F9" s="37"/>
      <c r="G9" s="25"/>
      <c r="H9" s="37"/>
      <c r="I9" s="37"/>
      <c r="J9" s="25"/>
      <c r="K9" s="37"/>
      <c r="L9" s="37"/>
      <c r="M9" s="25"/>
      <c r="N9" s="37"/>
      <c r="O9" s="37"/>
      <c r="P9" s="25"/>
    </row>
    <row r="10" spans="1:16" ht="62.1" customHeight="1" x14ac:dyDescent="0.2">
      <c r="A10" s="39"/>
      <c r="B10" s="38"/>
      <c r="C10" s="38"/>
      <c r="D10" s="38"/>
      <c r="E10" s="38"/>
      <c r="F10" s="38"/>
      <c r="G10" s="38"/>
      <c r="H10" s="38"/>
      <c r="I10" s="38"/>
      <c r="J10" s="38"/>
      <c r="K10" s="38"/>
      <c r="L10" s="38"/>
      <c r="M10" s="38"/>
      <c r="N10" s="38"/>
      <c r="O10" s="38"/>
      <c r="P10" s="38"/>
    </row>
    <row r="11" spans="1:16" ht="18" customHeight="1" x14ac:dyDescent="0.2">
      <c r="A11" s="39">
        <v>4</v>
      </c>
      <c r="B11" s="37"/>
      <c r="C11" s="37"/>
      <c r="D11" s="25"/>
      <c r="E11" s="37"/>
      <c r="F11" s="37"/>
      <c r="G11" s="25"/>
      <c r="H11" s="37"/>
      <c r="I11" s="37"/>
      <c r="J11" s="25"/>
      <c r="K11" s="37"/>
      <c r="L11" s="37"/>
      <c r="M11" s="25"/>
      <c r="N11" s="37"/>
      <c r="O11" s="37"/>
      <c r="P11" s="25"/>
    </row>
    <row r="12" spans="1:16" ht="62.1" customHeight="1" x14ac:dyDescent="0.2">
      <c r="A12" s="39"/>
      <c r="B12" s="38"/>
      <c r="C12" s="38"/>
      <c r="D12" s="38"/>
      <c r="E12" s="38"/>
      <c r="F12" s="38"/>
      <c r="G12" s="38"/>
      <c r="H12" s="38"/>
      <c r="I12" s="38"/>
      <c r="J12" s="38"/>
      <c r="K12" s="38"/>
      <c r="L12" s="38"/>
      <c r="M12" s="38"/>
      <c r="N12" s="38"/>
      <c r="O12" s="38"/>
      <c r="P12" s="38"/>
    </row>
    <row r="13" spans="1:16" ht="18" customHeight="1" x14ac:dyDescent="0.2">
      <c r="A13" s="39">
        <v>5</v>
      </c>
      <c r="B13" s="37"/>
      <c r="C13" s="37"/>
      <c r="D13" s="25"/>
      <c r="E13" s="37"/>
      <c r="F13" s="37"/>
      <c r="G13" s="25"/>
      <c r="H13" s="37"/>
      <c r="I13" s="37"/>
      <c r="J13" s="25"/>
      <c r="K13" s="37"/>
      <c r="L13" s="37"/>
      <c r="M13" s="25"/>
      <c r="N13" s="37"/>
      <c r="O13" s="37"/>
      <c r="P13" s="25"/>
    </row>
    <row r="14" spans="1:16" ht="62.1" customHeight="1" x14ac:dyDescent="0.2">
      <c r="A14" s="39"/>
      <c r="B14" s="38"/>
      <c r="C14" s="38"/>
      <c r="D14" s="38"/>
      <c r="E14" s="38"/>
      <c r="F14" s="38"/>
      <c r="G14" s="38"/>
      <c r="H14" s="38"/>
      <c r="I14" s="38"/>
      <c r="J14" s="38"/>
      <c r="K14" s="38"/>
      <c r="L14" s="38"/>
      <c r="M14" s="38"/>
      <c r="N14" s="38"/>
      <c r="O14" s="38"/>
      <c r="P14" s="38"/>
    </row>
    <row r="15" spans="1:16" ht="18" customHeight="1" x14ac:dyDescent="0.2">
      <c r="A15" s="39">
        <v>6</v>
      </c>
      <c r="B15" s="37"/>
      <c r="C15" s="37"/>
      <c r="D15" s="25"/>
      <c r="E15" s="37"/>
      <c r="F15" s="37"/>
      <c r="G15" s="25"/>
      <c r="H15" s="37"/>
      <c r="I15" s="37"/>
      <c r="J15" s="25"/>
      <c r="K15" s="37"/>
      <c r="L15" s="37"/>
      <c r="M15" s="25"/>
      <c r="N15" s="37"/>
      <c r="O15" s="37"/>
      <c r="P15" s="25"/>
    </row>
    <row r="16" spans="1:16" ht="62.1" customHeight="1" x14ac:dyDescent="0.2">
      <c r="A16" s="39"/>
      <c r="B16" s="38"/>
      <c r="C16" s="38"/>
      <c r="D16" s="38"/>
      <c r="E16" s="38"/>
      <c r="F16" s="38"/>
      <c r="G16" s="38"/>
      <c r="H16" s="38"/>
      <c r="I16" s="38"/>
      <c r="J16" s="38"/>
      <c r="K16" s="38"/>
      <c r="L16" s="38"/>
      <c r="M16" s="38"/>
      <c r="N16" s="38"/>
      <c r="O16" s="38"/>
      <c r="P16" s="38"/>
    </row>
    <row r="17" spans="1:16" ht="18" customHeight="1" x14ac:dyDescent="0.2">
      <c r="A17" s="39">
        <v>7</v>
      </c>
      <c r="B17" s="37"/>
      <c r="C17" s="37"/>
      <c r="D17" s="25"/>
      <c r="E17" s="37"/>
      <c r="F17" s="37"/>
      <c r="G17" s="25"/>
      <c r="H17" s="37"/>
      <c r="I17" s="37"/>
      <c r="J17" s="25"/>
      <c r="K17" s="37"/>
      <c r="L17" s="37"/>
      <c r="M17" s="25"/>
      <c r="N17" s="37"/>
      <c r="O17" s="37"/>
      <c r="P17" s="25"/>
    </row>
    <row r="18" spans="1:16" ht="62.1" customHeight="1" x14ac:dyDescent="0.2">
      <c r="A18" s="39"/>
      <c r="B18" s="38"/>
      <c r="C18" s="38"/>
      <c r="D18" s="38"/>
      <c r="E18" s="38"/>
      <c r="F18" s="38"/>
      <c r="G18" s="38"/>
      <c r="H18" s="38"/>
      <c r="I18" s="38"/>
      <c r="J18" s="38"/>
      <c r="K18" s="38"/>
      <c r="L18" s="38"/>
      <c r="M18" s="38"/>
      <c r="N18" s="38"/>
      <c r="O18" s="38"/>
      <c r="P18" s="38"/>
    </row>
    <row r="19" spans="1:16" ht="54.9" customHeight="1" x14ac:dyDescent="0.2">
      <c r="A19" s="10" t="s">
        <v>47</v>
      </c>
      <c r="B19" s="34"/>
      <c r="C19" s="34"/>
      <c r="D19" s="34"/>
      <c r="E19" s="34"/>
      <c r="F19" s="34"/>
      <c r="G19" s="34"/>
      <c r="H19" s="34"/>
      <c r="I19" s="34"/>
      <c r="J19" s="34"/>
      <c r="K19" s="34"/>
      <c r="L19" s="34"/>
      <c r="M19" s="34"/>
      <c r="N19" s="34"/>
      <c r="O19" s="34"/>
      <c r="P19" s="34"/>
    </row>
    <row r="20" spans="1:16" hidden="1" x14ac:dyDescent="0.2">
      <c r="A20" s="11"/>
      <c r="B20" s="11"/>
      <c r="C20" s="11"/>
      <c r="D20" s="11"/>
      <c r="E20" s="11"/>
      <c r="F20" s="11"/>
      <c r="G20" s="11"/>
      <c r="H20" s="11"/>
      <c r="I20" s="11"/>
      <c r="J20" s="11"/>
      <c r="K20" s="11"/>
      <c r="L20" s="11"/>
      <c r="M20" s="11"/>
      <c r="N20" s="11"/>
      <c r="O20" s="11"/>
      <c r="P20" s="11"/>
    </row>
    <row r="21" spans="1:16" ht="13.5" customHeight="1" x14ac:dyDescent="0.2">
      <c r="A21" s="12" t="s">
        <v>48</v>
      </c>
      <c r="B21" s="12">
        <f>IF(基本設定!B6="","",基本設定!B6)</f>
      </c>
      <c r="C21" s="12">
        <f>IF(基本設定!B7="","",基本設定!B7)</f>
      </c>
      <c r="D21" s="12">
        <f>IF(基本設定!B8="","",基本設定!B8)</f>
      </c>
      <c r="E21" s="12">
        <f>IF(基本設定!B9="","",基本設定!B9)</f>
      </c>
      <c r="F21" s="12">
        <f>IF(基本設定!B10="","",基本設定!B10)</f>
      </c>
      <c r="G21" s="12">
        <f>IF(基本設定!B11="","",基本設定!B11)</f>
      </c>
      <c r="H21" s="12"/>
      <c r="I21" s="12"/>
      <c r="J21" s="12"/>
      <c r="K21" s="12"/>
      <c r="L21" s="12"/>
      <c r="M21" s="13" t="s">
        <v>53</v>
      </c>
      <c r="N21" s="12" t="s">
        <v>20</v>
      </c>
      <c r="O21" s="12" t="s">
        <v>22</v>
      </c>
      <c r="P21" s="14" t="s">
        <v>49</v>
      </c>
    </row>
    <row r="22" spans="1:16" ht="13.5" customHeight="1" x14ac:dyDescent="0.2">
      <c r="A22" s="15" t="s">
        <v>50</v>
      </c>
      <c r="B22" s="16">
        <f>IF(B21="","",IFERROR(VALUE(VLOOKUP(B21,基本設定!$A$23:$B$35,2,FALSE())),""))</f>
      </c>
      <c r="C22" s="16">
        <f>IF(C21="","",IFERROR(VALUE(VLOOKUP(C21,基本設定!$A$23:$B$35,2,FALSE())),""))</f>
      </c>
      <c r="D22" s="16">
        <f>IF(D21="","",IFERROR(VALUE(VLOOKUP(D21,基本設定!$A$23:$B$35,2,FALSE())),""))</f>
      </c>
      <c r="E22" s="16">
        <f>IF(E21="","",IFERROR(VALUE(VLOOKUP(E21,基本設定!$A$23:$B$35,2,FALSE())),""))</f>
      </c>
      <c r="F22" s="16">
        <f>IF(F21="","",IFERROR(VALUE(VLOOKUP(F21,基本設定!$A$23:$B$35,2,FALSE())),""))</f>
      </c>
      <c r="G22" s="16">
        <f>IF(G21="","",IFERROR(VALUE(VLOOKUP(G21,基本設定!$A$23:$B$35,2,FALSE())),""))</f>
      </c>
      <c r="H22" s="17"/>
      <c r="I22" s="17"/>
      <c r="J22" s="17"/>
      <c r="K22" s="17"/>
      <c r="L22" s="17"/>
      <c r="M22" s="17">
        <v>1</v>
      </c>
      <c r="N22" s="17">
        <f>IF(N21="","",IFERROR(VALUE(VLOOKUP(N21,基本設定!$A$23:$B$35,2,FALSE())),""))</f>
      </c>
      <c r="O22" s="17">
        <f>IF(O21="","",IFERROR(VALUE(VLOOKUP(O21,基本設定!$A$23:$B$35,2,FALSE())),""))</f>
      </c>
      <c r="P22" s="18">
        <f>IF(SUM(B22:O22)=0,"",SUM(B22:O22))</f>
      </c>
    </row>
    <row r="23" spans="1:16" ht="13.5" customHeight="1" x14ac:dyDescent="0.2">
      <c r="A23" s="35" t="s">
        <v>51</v>
      </c>
      <c r="B23" s="19">
        <f>IF(B21="","",IF(B24="","",B24-(SUMPRODUCT((B5:C5=B21)*(D5="×"))+SUMPRODUCT((E5:F5=B21)*(G5="×"))+SUMPRODUCT((H5:I5=B21)*(J5="×"))+SUMPRODUCT((K5:L5=B21)*(M5="×"))+SUMPRODUCT((N5:O5=B21)*(P5="×"))+SUMPRODUCT((B7:C7=B21)*(D7="×"))+SUMPRODUCT((E7:F7=B21)*(G7="×"))+SUMPRODUCT((H7:I7=B21)*(J7="×"))+SUMPRODUCT((K7:L7=B21)*(M7="×"))+SUMPRODUCT((N7:O7=B21)*(P7="×"))+SUMPRODUCT((B9:C9=B21)*(D9="×"))+SUMPRODUCT((E9:F9=B21)*(G9="×"))+SUMPRODUCT((H9:I9=B21)*(J9="×"))+SUMPRODUCT((K9:L9=B21)*(M9="×"))+SUMPRODUCT((N9:O9=B21)*(P9="×"))+SUMPRODUCT((B11:C11=B21)*(D11="×"))+SUMPRODUCT((E11:F11=B21)*(G11="×"))+SUMPRODUCT((H11:I11=B21)*(J11="×"))+SUMPRODUCT((K11:L11=B21)*(M11="×"))+SUMPRODUCT((N11:O11=B21)*(P11="×"))+SUMPRODUCT((B13:C13=B21)*(D13="×"))+SUMPRODUCT((E13:F13=B21)*(G13="×"))+SUMPRODUCT((H13:I13=B21)*(J13="×"))+SUMPRODUCT((K13:L13=B21)*(M13="×"))+SUMPRODUCT((N13:O13=B21)*(P13="×"))+SUMPRODUCT((B15:C15=B21)*(D15="×"))+SUMPRODUCT((E15:F15=B21)*(G15="×"))+SUMPRODUCT((H15:I15=B21)*(J15="×"))+SUMPRODUCT((K15:L15=B21)*(M15="×"))+SUMPRODUCT((N15:O15=B21)*(P15="×"))+SUMPRODUCT((B17:C17=B21)*(D17="×"))+SUMPRODUCT((E17:F17=B21)*(G17="×"))+SUMPRODUCT((H17:I17=B21)*(J17="×"))+SUMPRODUCT((K17:L17=B21)*(M17="×"))+SUMPRODUCT((N17:O17=B21)*(P17="×")))))</f>
        <v/>
      </c>
      <c r="C23" s="19">
        <f>IF(C21="","",IF(C24="","",C24-(SUMPRODUCT((B5:C5=C21)*(D5="×"))+SUMPRODUCT((E5:F5=C21)*(G5="×"))+SUMPRODUCT((H5:I5=C21)*(J5="×"))+SUMPRODUCT((K5:L5=C21)*(M5="×"))+SUMPRODUCT((N5:O5=C21)*(P5="×"))+SUMPRODUCT((B7:C7=C21)*(D7="×"))+SUMPRODUCT((E7:F7=C21)*(G7="×"))+SUMPRODUCT((H7:I7=C21)*(J7="×"))+SUMPRODUCT((K7:L7=C21)*(M7="×"))+SUMPRODUCT((N7:O7=C21)*(P7="×"))+SUMPRODUCT((B9:C9=C21)*(D9="×"))+SUMPRODUCT((E9:F9=C21)*(G9="×"))+SUMPRODUCT((H9:I9=C21)*(J9="×"))+SUMPRODUCT((K9:L9=C21)*(M9="×"))+SUMPRODUCT((N9:O9=C21)*(P9="×"))+SUMPRODUCT((B11:C11=C21)*(D11="×"))+SUMPRODUCT((E11:F11=C21)*(G11="×"))+SUMPRODUCT((H11:I11=C21)*(J11="×"))+SUMPRODUCT((K11:L11=C21)*(M11="×"))+SUMPRODUCT((N11:O11=C21)*(P11="×"))+SUMPRODUCT((B13:C13=C21)*(D13="×"))+SUMPRODUCT((E13:F13=C21)*(G13="×"))+SUMPRODUCT((H13:I13=C21)*(J13="×"))+SUMPRODUCT((K13:L13=C21)*(M13="×"))+SUMPRODUCT((N13:O13=C21)*(P13="×"))+SUMPRODUCT((B15:C15=C21)*(D15="×"))+SUMPRODUCT((E15:F15=C21)*(G15="×"))+SUMPRODUCT((H15:I15=C21)*(J15="×"))+SUMPRODUCT((K15:L15=C21)*(M15="×"))+SUMPRODUCT((N15:O15=C21)*(P15="×"))+SUMPRODUCT((B17:C17=C21)*(D17="×"))+SUMPRODUCT((E17:F17=C21)*(G17="×"))+SUMPRODUCT((H17:I17=C21)*(J17="×"))+SUMPRODUCT((K17:L17=C21)*(M17="×"))+SUMPRODUCT((N17:O17=C21)*(P17="×")))))</f>
        <v/>
      </c>
      <c r="D23" s="19">
        <f>IF(D21="","",IF(D24="","",D24-(SUMPRODUCT((B5:C5=D21)*(D5="×"))+SUMPRODUCT((E5:F5=D21)*(G5="×"))+SUMPRODUCT((H5:I5=D21)*(J5="×"))+SUMPRODUCT((K5:L5=D21)*(M5="×"))+SUMPRODUCT((N5:O5=D21)*(P5="×"))+SUMPRODUCT((B7:C7=D21)*(D7="×"))+SUMPRODUCT((E7:F7=D21)*(G7="×"))+SUMPRODUCT((H7:I7=D21)*(J7="×"))+SUMPRODUCT((K7:L7=D21)*(M7="×"))+SUMPRODUCT((N7:O7=D21)*(P7="×"))+SUMPRODUCT((B9:C9=D21)*(D9="×"))+SUMPRODUCT((E9:F9=D21)*(G9="×"))+SUMPRODUCT((H9:I9=D21)*(J9="×"))+SUMPRODUCT((K9:L9=D21)*(M9="×"))+SUMPRODUCT((N9:O9=D21)*(P9="×"))+SUMPRODUCT((B11:C11=D21)*(D11="×"))+SUMPRODUCT((E11:F11=D21)*(G11="×"))+SUMPRODUCT((H11:I11=D21)*(J11="×"))+SUMPRODUCT((K11:L11=D21)*(M11="×"))+SUMPRODUCT((N11:O11=D21)*(P11="×"))+SUMPRODUCT((B13:C13=D21)*(D13="×"))+SUMPRODUCT((E13:F13=D21)*(G13="×"))+SUMPRODUCT((H13:I13=D21)*(J13="×"))+SUMPRODUCT((K13:L13=D21)*(M13="×"))+SUMPRODUCT((N13:O13=D21)*(P13="×"))+SUMPRODUCT((B15:C15=D21)*(D15="×"))+SUMPRODUCT((E15:F15=D21)*(G15="×"))+SUMPRODUCT((H15:I15=D21)*(J15="×"))+SUMPRODUCT((K15:L15=D21)*(M15="×"))+SUMPRODUCT((N15:O15=D21)*(P15="×"))+SUMPRODUCT((B17:C17=D21)*(D17="×"))+SUMPRODUCT((E17:F17=D21)*(G17="×"))+SUMPRODUCT((H17:I17=D21)*(J17="×"))+SUMPRODUCT((K17:L17=D21)*(M17="×"))+SUMPRODUCT((N17:O17=D21)*(P17="×")))))</f>
        <v/>
      </c>
      <c r="E23" s="19">
        <f>IF(E21="","",IF(E24="","",E24-(SUMPRODUCT((B5:C5=E21)*(D5="×"))+SUMPRODUCT((E5:F5=E21)*(G5="×"))+SUMPRODUCT((H5:I5=E21)*(J5="×"))+SUMPRODUCT((K5:L5=E21)*(M5="×"))+SUMPRODUCT((N5:O5=E21)*(P5="×"))+SUMPRODUCT((B7:C7=E21)*(D7="×"))+SUMPRODUCT((E7:F7=E21)*(G7="×"))+SUMPRODUCT((H7:I7=E21)*(J7="×"))+SUMPRODUCT((K7:L7=E21)*(M7="×"))+SUMPRODUCT((N7:O7=E21)*(P7="×"))+SUMPRODUCT((B9:C9=E21)*(D9="×"))+SUMPRODUCT((E9:F9=E21)*(G9="×"))+SUMPRODUCT((H9:I9=E21)*(J9="×"))+SUMPRODUCT((K9:L9=E21)*(M9="×"))+SUMPRODUCT((N9:O9=E21)*(P9="×"))+SUMPRODUCT((B11:C11=E21)*(D11="×"))+SUMPRODUCT((E11:F11=E21)*(G11="×"))+SUMPRODUCT((H11:I11=E21)*(J11="×"))+SUMPRODUCT((K11:L11=E21)*(M11="×"))+SUMPRODUCT((N11:O11=E21)*(P11="×"))+SUMPRODUCT((B13:C13=E21)*(D13="×"))+SUMPRODUCT((E13:F13=E21)*(G13="×"))+SUMPRODUCT((H13:I13=E21)*(J13="×"))+SUMPRODUCT((K13:L13=E21)*(M13="×"))+SUMPRODUCT((N13:O13=E21)*(P13="×"))+SUMPRODUCT((B15:C15=E21)*(D15="×"))+SUMPRODUCT((E15:F15=E21)*(G15="×"))+SUMPRODUCT((H15:I15=E21)*(J15="×"))+SUMPRODUCT((K15:L15=E21)*(M15="×"))+SUMPRODUCT((N15:O15=E21)*(P15="×"))+SUMPRODUCT((B17:C17=E21)*(D17="×"))+SUMPRODUCT((E17:F17=E21)*(G17="×"))+SUMPRODUCT((H17:I17=E21)*(J17="×"))+SUMPRODUCT((K17:L17=E21)*(M17="×"))+SUMPRODUCT((N17:O17=E21)*(P17="×")))))</f>
        <v/>
      </c>
      <c r="F23" s="19">
        <f>IF(F21="","",IF(F24="","",F24-(SUMPRODUCT((B5:C5=F21)*(D5="×"))+SUMPRODUCT((E5:F5=F21)*(G5="×"))+SUMPRODUCT((H5:I5=F21)*(J5="×"))+SUMPRODUCT((K5:L5=F21)*(M5="×"))+SUMPRODUCT((N5:O5=F21)*(P5="×"))+SUMPRODUCT((B7:C7=F21)*(D7="×"))+SUMPRODUCT((E7:F7=F21)*(G7="×"))+SUMPRODUCT((H7:I7=F21)*(J7="×"))+SUMPRODUCT((K7:L7=F21)*(M7="×"))+SUMPRODUCT((N7:O7=F21)*(P7="×"))+SUMPRODUCT((B9:C9=F21)*(D9="×"))+SUMPRODUCT((E9:F9=F21)*(G9="×"))+SUMPRODUCT((H9:I9=F21)*(J9="×"))+SUMPRODUCT((K9:L9=F21)*(M9="×"))+SUMPRODUCT((N9:O9=F21)*(P9="×"))+SUMPRODUCT((B11:C11=F21)*(D11="×"))+SUMPRODUCT((E11:F11=F21)*(G11="×"))+SUMPRODUCT((H11:I11=F21)*(J11="×"))+SUMPRODUCT((K11:L11=F21)*(M11="×"))+SUMPRODUCT((N11:O11=F21)*(P11="×"))+SUMPRODUCT((B13:C13=F21)*(D13="×"))+SUMPRODUCT((E13:F13=F21)*(G13="×"))+SUMPRODUCT((H13:I13=F21)*(J13="×"))+SUMPRODUCT((K13:L13=F21)*(M13="×"))+SUMPRODUCT((N13:O13=F21)*(P13="×"))+SUMPRODUCT((B15:C15=F21)*(D15="×"))+SUMPRODUCT((E15:F15=F21)*(G15="×"))+SUMPRODUCT((H15:I15=F21)*(J15="×"))+SUMPRODUCT((K15:L15=F21)*(M15="×"))+SUMPRODUCT((N15:O15=F21)*(P15="×"))+SUMPRODUCT((B17:C17=F21)*(D17="×"))+SUMPRODUCT((E17:F17=F21)*(G17="×"))+SUMPRODUCT((H17:I17=F21)*(J17="×"))+SUMPRODUCT((K17:L17=F21)*(M17="×"))+SUMPRODUCT((N17:O17=F21)*(P17="×")))))</f>
        <v/>
      </c>
      <c r="G23" s="19">
        <f>IF(G21="","",IF(G24="","",G24-(SUMPRODUCT((B5:C5=G21)*(D5="×"))+SUMPRODUCT((E5:F5=G21)*(G5="×"))+SUMPRODUCT((H5:I5=G21)*(J5="×"))+SUMPRODUCT((K5:L5=G21)*(M5="×"))+SUMPRODUCT((N5:O5=G21)*(P5="×"))+SUMPRODUCT((B7:C7=G21)*(D7="×"))+SUMPRODUCT((E7:F7=G21)*(G7="×"))+SUMPRODUCT((H7:I7=G21)*(J7="×"))+SUMPRODUCT((K7:L7=G21)*(M7="×"))+SUMPRODUCT((N7:O7=G21)*(P7="×"))+SUMPRODUCT((B9:C9=G21)*(D9="×"))+SUMPRODUCT((E9:F9=G21)*(G9="×"))+SUMPRODUCT((H9:I9=G21)*(J9="×"))+SUMPRODUCT((K9:L9=G21)*(M9="×"))+SUMPRODUCT((N9:O9=G21)*(P9="×"))+SUMPRODUCT((B11:C11=G21)*(D11="×"))+SUMPRODUCT((E11:F11=G21)*(G11="×"))+SUMPRODUCT((H11:I11=G21)*(J11="×"))+SUMPRODUCT((K11:L11=G21)*(M11="×"))+SUMPRODUCT((N11:O11=G21)*(P11="×"))+SUMPRODUCT((B13:C13=G21)*(D13="×"))+SUMPRODUCT((E13:F13=G21)*(G13="×"))+SUMPRODUCT((H13:I13=G21)*(J13="×"))+SUMPRODUCT((K13:L13=G21)*(M13="×"))+SUMPRODUCT((N13:O13=G21)*(P13="×"))+SUMPRODUCT((B15:C15=G21)*(D15="×"))+SUMPRODUCT((E15:F15=G21)*(G15="×"))+SUMPRODUCT((H15:I15=G21)*(J15="×"))+SUMPRODUCT((K15:L15=G21)*(M15="×"))+SUMPRODUCT((N15:O15=G21)*(P15="×"))+SUMPRODUCT((B17:C17=G21)*(D17="×"))+SUMPRODUCT((E17:F17=G21)*(G17="×"))+SUMPRODUCT((H17:I17=G21)*(J17="×"))+SUMPRODUCT((K17:L17=G21)*(M17="×"))+SUMPRODUCT((N17:O17=G21)*(P17="×")))))</f>
        <v/>
      </c>
      <c r="H23" s="19"/>
      <c r="I23" s="19"/>
      <c r="J23" s="19"/>
      <c r="K23" s="19"/>
      <c r="L23" s="19"/>
      <c r="M23" s="19">
        <f>IF(M24="","",M24-(SUMPRODUCT((B5:C5="特活")*(D5="×"))+SUMPRODUCT((B5:C5="学活")*(D5="×"))+SUMPRODUCT((E5:F5="特活")*(G5="×"))+SUMPRODUCT((E5:F5="学活")*(G5="×"))+SUMPRODUCT((H5:I5="特活")*(J5="×"))+SUMPRODUCT((H5:I5="学活")*(J5="×"))+SUMPRODUCT((K5:L5="特活")*(M5="×"))+SUMPRODUCT((K5:L5="学活")*(M5="×"))+SUMPRODUCT((N5:O5="特活")*(P5="×"))+SUMPRODUCT((N5:O5="学活")*(P5="×"))+SUMPRODUCT((B7:C7="特活")*(D7="×"))+SUMPRODUCT((B7:C7="学活")*(D7="×"))+SUMPRODUCT((E7:F7="特活")*(G7="×"))+SUMPRODUCT((E7:F7="学活")*(G7="×"))+SUMPRODUCT((H7:I7="特活")*(J7="×"))+SUMPRODUCT((H7:I7="学活")*(J7="×"))+SUMPRODUCT((K7:L7="特活")*(M7="×"))+SUMPRODUCT((K7:L7="学活")*(M7="×"))+SUMPRODUCT((N7:O7="特活")*(P7="×"))+SUMPRODUCT((N7:O7="学活")*(P7="×"))+SUMPRODUCT((B9:C9="特活")*(D9="×"))+SUMPRODUCT((B9:C9="学活")*(D9="×"))+SUMPRODUCT((E9:F9="特活")*(G9="×"))+SUMPRODUCT((E9:F9="学活")*(G9="×"))+SUMPRODUCT((H9:I9="特活")*(J9="×"))+SUMPRODUCT((H9:I9="学活")*(J9="×"))+SUMPRODUCT((K9:L9="特活")*(M9="×"))+SUMPRODUCT((K9:L9="学活")*(M9="×"))+SUMPRODUCT((N9:O9="特活")*(P9="×"))+SUMPRODUCT((N9:O9="学活")*(P9="×"))+SUMPRODUCT((B11:C11="特活")*(D11="×"))+SUMPRODUCT((B11:C11="学活")*(D11="×"))+SUMPRODUCT((E11:F11="特活")*(G11="×"))+SUMPRODUCT((E11:F11="学活")*(G11="×"))+SUMPRODUCT((H11:I11="特活")*(J11="×"))+SUMPRODUCT((H11:I11="学活")*(J11="×"))+SUMPRODUCT((K11:L11="特活")*(M11="×"))+SUMPRODUCT((K11:L11="学活")*(M11="×"))+SUMPRODUCT((N11:O11="特活")*(P11="×"))+SUMPRODUCT((N11:O11="学活")*(P11="×"))+SUMPRODUCT((B13:C13="特活")*(D13="×"))+SUMPRODUCT((B13:C13="学活")*(D13="×"))+SUMPRODUCT((E13:F13="特活")*(G13="×"))+SUMPRODUCT((E13:F13="学活")*(G13="×"))+SUMPRODUCT((H13:I13="特活")*(J13="×"))+SUMPRODUCT((H13:I13="学活")*(J13="×"))+SUMPRODUCT((K13:L13="特活")*(M13="×"))+SUMPRODUCT((K13:L13="学活")*(M13="×"))+SUMPRODUCT((N13:O13="特活")*(P13="×"))+SUMPRODUCT((N13:O13="学活")*(P13="×"))+SUMPRODUCT((B15:C15="特活")*(D15="×"))+SUMPRODUCT((B15:C15="学活")*(D15="×"))+SUMPRODUCT((E15:F15="特活")*(G15="×"))+SUMPRODUCT((E15:F15="学活")*(G15="×"))+SUMPRODUCT((H15:I15="特活")*(J15="×"))+SUMPRODUCT((H15:I15="学活")*(J15="×"))+SUMPRODUCT((K15:L15="特活")*(M15="×"))+SUMPRODUCT((K15:L15="学活")*(M15="×"))+SUMPRODUCT((N15:O15="特活")*(P15="×"))+SUMPRODUCT((N15:O15="学活")*(P15="×"))+SUMPRODUCT((B17:C17="特活")*(D17="×"))+SUMPRODUCT((B17:C17="学活")*(D17="×"))+SUMPRODUCT((E17:F17="特活")*(G17="×"))+SUMPRODUCT((E17:F17="学活")*(G17="×"))+SUMPRODUCT((H17:I17="特活")*(J17="×"))+SUMPRODUCT((H17:I17="学活")*(J17="×"))+SUMPRODUCT((K17:L17="特活")*(M17="×"))+SUMPRODUCT((K17:L17="学活")*(M17="×"))+SUMPRODUCT((N17:O17="特活")*(P17="×"))+SUMPRODUCT((N17:O17="学活")*(P17="×"))))</f>
        <v/>
      </c>
      <c r="N23" s="19">
        <f>IF(N24="","",N24-(SUMPRODUCT((B5:C5=N21)*(D5="×"))+SUMPRODUCT((E5:F5=N21)*(G5="×"))+SUMPRODUCT((H5:I5=N21)*(J5="×"))+SUMPRODUCT((K5:L5=N21)*(M5="×"))+SUMPRODUCT((N5:O5=N21)*(P5="×"))+SUMPRODUCT((B7:C7=N21)*(D7="×"))+SUMPRODUCT((E7:F7=N21)*(G7="×"))+SUMPRODUCT((H7:I7=N21)*(J7="×"))+SUMPRODUCT((K7:L7=N21)*(M7="×"))+SUMPRODUCT((N7:O7=N21)*(P7="×"))+SUMPRODUCT((B9:C9=N21)*(D9="×"))+SUMPRODUCT((E9:F9=N21)*(G9="×"))+SUMPRODUCT((H9:I9=N21)*(J9="×"))+SUMPRODUCT((K9:L9=N21)*(M9="×"))+SUMPRODUCT((N9:O9=N21)*(P9="×"))+SUMPRODUCT((B11:C11=N21)*(D11="×"))+SUMPRODUCT((E11:F11=N21)*(G11="×"))+SUMPRODUCT((H11:I11=N21)*(J11="×"))+SUMPRODUCT((K11:L11=N21)*(M11="×"))+SUMPRODUCT((N11:O11=N21)*(P11="×"))+SUMPRODUCT((B13:C13=N21)*(D13="×"))+SUMPRODUCT((E13:F13=N21)*(G13="×"))+SUMPRODUCT((H13:I13=N21)*(J13="×"))+SUMPRODUCT((K13:L13=N21)*(M13="×"))+SUMPRODUCT((N13:O13=N21)*(P13="×"))+SUMPRODUCT((B15:C15=N21)*(D15="×"))+SUMPRODUCT((E15:F15=N21)*(G15="×"))+SUMPRODUCT((H15:I15=N21)*(J15="×"))+SUMPRODUCT((K15:L15=N21)*(M15="×"))+SUMPRODUCT((N15:O15=N21)*(P15="×"))+SUMPRODUCT((B17:C17=N21)*(D17="×"))+SUMPRODUCT((E17:F17=N21)*(G17="×"))+SUMPRODUCT((H17:I17=N21)*(J17="×"))+SUMPRODUCT((K17:L17=N21)*(M17="×"))+SUMPRODUCT((N17:O17=N21)*(P17="×"))))</f>
        <v/>
      </c>
      <c r="O23" s="19">
        <f>IF(O24="","",O24-(SUMPRODUCT((B5:C5=O21)*(D5="×"))+SUMPRODUCT((E5:F5=O21)*(G5="×"))+SUMPRODUCT((H5:I5=O21)*(J5="×"))+SUMPRODUCT((K5:L5=O21)*(M5="×"))+SUMPRODUCT((N5:O5=O21)*(P5="×"))+SUMPRODUCT((B7:C7=O21)*(D7="×"))+SUMPRODUCT((E7:F7=O21)*(G7="×"))+SUMPRODUCT((H7:I7=O21)*(J7="×"))+SUMPRODUCT((K7:L7=O21)*(M7="×"))+SUMPRODUCT((N7:O7=O21)*(P7="×"))+SUMPRODUCT((B9:C9=O21)*(D9="×"))+SUMPRODUCT((E9:F9=O21)*(G9="×"))+SUMPRODUCT((H9:I9=O21)*(J9="×"))+SUMPRODUCT((K9:L9=O21)*(M9="×"))+SUMPRODUCT((N9:O9=O21)*(P9="×"))+SUMPRODUCT((B11:C11=O21)*(D11="×"))+SUMPRODUCT((E11:F11=O21)*(G11="×"))+SUMPRODUCT((H11:I11=O21)*(J11="×"))+SUMPRODUCT((K11:L11=O21)*(M11="×"))+SUMPRODUCT((N11:O11=O21)*(P11="×"))+SUMPRODUCT((B13:C13=O21)*(D13="×"))+SUMPRODUCT((E13:F13=O21)*(G13="×"))+SUMPRODUCT((H13:I13=O21)*(J13="×"))+SUMPRODUCT((K13:L13=O21)*(M13="×"))+SUMPRODUCT((N13:O13=O21)*(P13="×"))+SUMPRODUCT((B15:C15=O21)*(D15="×"))+SUMPRODUCT((E15:F15=O21)*(G15="×"))+SUMPRODUCT((H15:I15=O21)*(J15="×"))+SUMPRODUCT((K15:L15=O21)*(M15="×"))+SUMPRODUCT((N15:O15=O21)*(P15="×"))+SUMPRODUCT((B17:C17=O21)*(D17="×"))+SUMPRODUCT((E17:F17=O21)*(G17="×"))+SUMPRODUCT((H17:I17=O21)*(J17="×"))+SUMPRODUCT((K17:L17=O21)*(M17="×"))+SUMPRODUCT((N17:O17=O21)*(P17="×"))))</f>
        <v/>
      </c>
      <c r="P23" s="20">
        <f>IF(SUM(B23:O23)=0,"",SUM(B23:O23))</f>
        <v/>
      </c>
    </row>
    <row r="24" spans="1:16" ht="13.5" customHeight="1" x14ac:dyDescent="0.2">
      <c r="A24" s="36"/>
      <c r="B24" s="21">
        <f>IF(B21="","",IF(COUNTIF(B5:C5,B21)+COUNTIF(B5:C5,"*,"&amp;B21&amp;",*")+COUNTIF(E5:F5,B21)+COUNTIF(E5:F5,"*,"&amp;B21&amp;",*")+COUNTIF(H5:I5,B21)+COUNTIF(H5:I5,"*,"&amp;B21&amp;",*")+COUNTIF(K5:L5,B21)+COUNTIF(K5:L5,"*,"&amp;B21&amp;",*")+COUNTIF(N5:O5,B21)+COUNTIF(N5:O5,"*,"&amp;B21&amp;",*")+COUNTIF(B7:C7,B21)+COUNTIF(B7:C7,"*,"&amp;B21&amp;",*")+COUNTIF(E7:F7,B21)+COUNTIF(E7:F7,"*,"&amp;B21&amp;",*")+COUNTIF(H7:I7,B21)+COUNTIF(H7:I7,"*,"&amp;B21&amp;",*")+COUNTIF(K7:L7,B21)+COUNTIF(K7:L7,"*,"&amp;B21&amp;",*")+COUNTIF(N7:O7,B21)+COUNTIF(N7:O7,"*,"&amp;B21&amp;",*")+COUNTIF(B9:C9,B21)+COUNTIF(B9:C9,"*,"&amp;B21&amp;",*")+COUNTIF(E9:F9,B21)+COUNTIF(E9:F9,"*,"&amp;B21&amp;",*")+COUNTIF(H9:I9,B21)+COUNTIF(H9:I9,"*,"&amp;B21&amp;",*")+COUNTIF(K9:L9,B21)+COUNTIF(K9:L9,"*,"&amp;B21&amp;",*")+COUNTIF(N9:O9,B21)+COUNTIF(N9:O9,"*,"&amp;B21&amp;",*")+COUNTIF(B11:C11,B21)+COUNTIF(B11:C11,"*,"&amp;B21&amp;",*")+COUNTIF(E11:F11,B21)+COUNTIF(E11:F11,"*,"&amp;B21&amp;",*")+COUNTIF(H11:I11,B21)+COUNTIF(H11:I11,"*,"&amp;B21&amp;",*")+COUNTIF(K11:L11,B21)+COUNTIF(K11:L11,"*,"&amp;B21&amp;",*")+COUNTIF(N11:O11,B21)+COUNTIF(N11:O11,"*,"&amp;B21&amp;",*")+COUNTIF(B13:C13,B21)+COUNTIF(B13:C13,"*,"&amp;B21&amp;",*")+COUNTIF(E13:F13,B21)+COUNTIF(E13:F13,"*,"&amp;B21&amp;",*")+COUNTIF(H13:I13,B21)+COUNTIF(H13:I13,"*,"&amp;B21&amp;",*")+COUNTIF(K13:L13,B21)+COUNTIF(K13:L13,"*,"&amp;B21&amp;",*")+COUNTIF(N13:O13,B21)+COUNTIF(N13:O13,"*,"&amp;B21&amp;",*")+COUNTIF(B15:C15,B21)+COUNTIF(B15:C15,"*,"&amp;B21&amp;",*")+COUNTIF(E15:F15,B21)+COUNTIF(E15:F15,"*,"&amp;B21&amp;",*")+COUNTIF(H15:I15,B21)+COUNTIF(H15:I15,"*,"&amp;B21&amp;",*")+COUNTIF(K15:L15,B21)+COUNTIF(K15:L15,"*,"&amp;B21&amp;",*")+COUNTIF(N15:O15,B21)+COUNTIF(N15:O15,"*,"&amp;B21&amp;",*")+COUNTIF(B17:C17,B21)+COUNTIF(B17:C17,"*,"&amp;B21&amp;",*")+COUNTIF(E17:F17,B21)+COUNTIF(E17:F17,"*,"&amp;B21&amp;",*")+COUNTIF(H17:I17,B21)+COUNTIF(H17:I17,"*,"&amp;B21&amp;",*")+COUNTIF(K17:L17,B21)+COUNTIF(K17:L17,"*,"&amp;B21&amp;",*")+COUNTIF(N17:O17,B21)+COUNTIF(N17:O17,"*,"&amp;B21&amp;",*")=0,"",COUNTIF(B5:C5,B21)+COUNTIF(B5:C5,"*,"&amp;B21&amp;",*")+COUNTIF(E5:F5,B21)+COUNTIF(E5:F5,"*,"&amp;B21&amp;",*")+COUNTIF(H5:I5,B21)+COUNTIF(H5:I5,"*,"&amp;B21&amp;",*")+COUNTIF(K5:L5,B21)+COUNTIF(K5:L5,"*,"&amp;B21&amp;",*")+COUNTIF(N5:O5,B21)+COUNTIF(N5:O5,"*,"&amp;B21&amp;",*")+COUNTIF(B7:C7,B21)+COUNTIF(B7:C7,"*,"&amp;B21&amp;",*")+COUNTIF(E7:F7,B21)+COUNTIF(E7:F7,"*,"&amp;B21&amp;",*")+COUNTIF(H7:I7,B21)+COUNTIF(H7:I7,"*,"&amp;B21&amp;",*")+COUNTIF(K7:L7,B21)+COUNTIF(K7:L7,"*,"&amp;B21&amp;",*")+COUNTIF(N7:O7,B21)+COUNTIF(N7:O7,"*,"&amp;B21&amp;",*")+COUNTIF(B9:C9,B21)+COUNTIF(B9:C9,"*,"&amp;B21&amp;",*")+COUNTIF(E9:F9,B21)+COUNTIF(E9:F9,"*,"&amp;B21&amp;",*")+COUNTIF(H9:I9,B21)+COUNTIF(H9:I9,"*,"&amp;B21&amp;",*")+COUNTIF(K9:L9,B21)+COUNTIF(K9:L9,"*,"&amp;B21&amp;",*")+COUNTIF(N9:O9,B21)+COUNTIF(N9:O9,"*,"&amp;B21&amp;",*")+COUNTIF(B11:C11,B21)+COUNTIF(B11:C11,"*,"&amp;B21&amp;",*")+COUNTIF(E11:F11,B21)+COUNTIF(E11:F11,"*,"&amp;B21&amp;",*")+COUNTIF(H11:I11,B21)+COUNTIF(H11:I11,"*,"&amp;B21&amp;",*")+COUNTIF(K11:L11,B21)+COUNTIF(K11:L11,"*,"&amp;B21&amp;",*")+COUNTIF(N11:O11,B21)+COUNTIF(N11:O11,"*,"&amp;B21&amp;",*")+COUNTIF(B13:C13,B21)+COUNTIF(B13:C13,"*,"&amp;B21&amp;",*")+COUNTIF(E13:F13,B21)+COUNTIF(E13:F13,"*,"&amp;B21&amp;",*")+COUNTIF(H13:I13,B21)+COUNTIF(H13:I13,"*,"&amp;B21&amp;",*")+COUNTIF(K13:L13,B21)+COUNTIF(K13:L13,"*,"&amp;B21&amp;",*")+COUNTIF(N13:O13,B21)+COUNTIF(N13:O13,"*,"&amp;B21&amp;",*")+COUNTIF(B15:C15,B21)+COUNTIF(B15:C15,"*,"&amp;B21&amp;",*")+COUNTIF(E15:F15,B21)+COUNTIF(E15:F15,"*,"&amp;B21&amp;",*")+COUNTIF(H15:I15,B21)+COUNTIF(H15:I15,"*,"&amp;B21&amp;",*")+COUNTIF(K15:L15,B21)+COUNTIF(K15:L15,"*,"&amp;B21&amp;",*")+COUNTIF(N15:O15,B21)+COUNTIF(N15:O15,"*,"&amp;B21&amp;",*")+COUNTIF(B17:C17,B21)+COUNTIF(B17:C17,"*,"&amp;B21&amp;",*")+COUNTIF(E17:F17,B21)+COUNTIF(E17:F17,"*,"&amp;B21&amp;",*")+COUNTIF(H17:I17,B21)+COUNTIF(H17:I17,"*,"&amp;B21&amp;",*")+COUNTIF(K17:L17,B21)+COUNTIF(K17:L17,"*,"&amp;B21&amp;",*")+COUNTIF(N17:O17,B21)+COUNTIF(N17:O17,"*,"&amp;B21&amp;",*")))</f>
        <v/>
      </c>
      <c r="C24" s="21">
        <f>IF(C21="","",IF(COUNTIF(B5:C5,C21)+COUNTIF(B5:C5,"*,"&amp;C21&amp;",*")+COUNTIF(E5:F5,C21)+COUNTIF(E5:F5,"*,"&amp;C21&amp;",*")+COUNTIF(H5:I5,C21)+COUNTIF(H5:I5,"*,"&amp;C21&amp;",*")+COUNTIF(K5:L5,C21)+COUNTIF(K5:L5,"*,"&amp;C21&amp;",*")+COUNTIF(N5:O5,C21)+COUNTIF(N5:O5,"*,"&amp;C21&amp;",*")+COUNTIF(B7:C7,C21)+COUNTIF(B7:C7,"*,"&amp;C21&amp;",*")+COUNTIF(E7:F7,C21)+COUNTIF(E7:F7,"*,"&amp;C21&amp;",*")+COUNTIF(H7:I7,C21)+COUNTIF(H7:I7,"*,"&amp;C21&amp;",*")+COUNTIF(K7:L7,C21)+COUNTIF(K7:L7,"*,"&amp;C21&amp;",*")+COUNTIF(N7:O7,C21)+COUNTIF(N7:O7,"*,"&amp;C21&amp;",*")+COUNTIF(B9:C9,C21)+COUNTIF(B9:C9,"*,"&amp;C21&amp;",*")+COUNTIF(E9:F9,C21)+COUNTIF(E9:F9,"*,"&amp;C21&amp;",*")+COUNTIF(H9:I9,C21)+COUNTIF(H9:I9,"*,"&amp;C21&amp;",*")+COUNTIF(K9:L9,C21)+COUNTIF(K9:L9,"*,"&amp;C21&amp;",*")+COUNTIF(N9:O9,C21)+COUNTIF(N9:O9,"*,"&amp;C21&amp;",*")+COUNTIF(B11:C11,C21)+COUNTIF(B11:C11,"*,"&amp;C21&amp;",*")+COUNTIF(E11:F11,C21)+COUNTIF(E11:F11,"*,"&amp;C21&amp;",*")+COUNTIF(H11:I11,C21)+COUNTIF(H11:I11,"*,"&amp;C21&amp;",*")+COUNTIF(K11:L11,C21)+COUNTIF(K11:L11,"*,"&amp;C21&amp;",*")+COUNTIF(N11:O11,C21)+COUNTIF(N11:O11,"*,"&amp;C21&amp;",*")+COUNTIF(B13:C13,C21)+COUNTIF(B13:C13,"*,"&amp;C21&amp;",*")+COUNTIF(E13:F13,C21)+COUNTIF(E13:F13,"*,"&amp;C21&amp;",*")+COUNTIF(H13:I13,C21)+COUNTIF(H13:I13,"*,"&amp;C21&amp;",*")+COUNTIF(K13:L13,C21)+COUNTIF(K13:L13,"*,"&amp;C21&amp;",*")+COUNTIF(N13:O13,C21)+COUNTIF(N13:O13,"*,"&amp;C21&amp;",*")+COUNTIF(B15:C15,C21)+COUNTIF(B15:C15,"*,"&amp;C21&amp;",*")+COUNTIF(E15:F15,C21)+COUNTIF(E15:F15,"*,"&amp;C21&amp;",*")+COUNTIF(H15:I15,C21)+COUNTIF(H15:I15,"*,"&amp;C21&amp;",*")+COUNTIF(K15:L15,C21)+COUNTIF(K15:L15,"*,"&amp;C21&amp;",*")+COUNTIF(N15:O15,C21)+COUNTIF(N15:O15,"*,"&amp;C21&amp;",*")+COUNTIF(B17:C17,C21)+COUNTIF(B17:C17,"*,"&amp;C21&amp;",*")+COUNTIF(E17:F17,C21)+COUNTIF(E17:F17,"*,"&amp;C21&amp;",*")+COUNTIF(H17:I17,C21)+COUNTIF(H17:I17,"*,"&amp;C21&amp;",*")+COUNTIF(K17:L17,C21)+COUNTIF(K17:L17,"*,"&amp;C21&amp;",*")+COUNTIF(N17:O17,C21)+COUNTIF(N17:O17,"*,"&amp;C21&amp;",*")=0,"",COUNTIF(B5:C5,C21)+COUNTIF(B5:C5,"*,"&amp;C21&amp;",*")+COUNTIF(E5:F5,C21)+COUNTIF(E5:F5,"*,"&amp;C21&amp;",*")+COUNTIF(H5:I5,C21)+COUNTIF(H5:I5,"*,"&amp;C21&amp;",*")+COUNTIF(K5:L5,C21)+COUNTIF(K5:L5,"*,"&amp;C21&amp;",*")+COUNTIF(N5:O5,C21)+COUNTIF(N5:O5,"*,"&amp;C21&amp;",*")+COUNTIF(B7:C7,C21)+COUNTIF(B7:C7,"*,"&amp;C21&amp;",*")+COUNTIF(E7:F7,C21)+COUNTIF(E7:F7,"*,"&amp;C21&amp;",*")+COUNTIF(H7:I7,C21)+COUNTIF(H7:I7,"*,"&amp;C21&amp;",*")+COUNTIF(K7:L7,C21)+COUNTIF(K7:L7,"*,"&amp;C21&amp;",*")+COUNTIF(N7:O7,C21)+COUNTIF(N7:O7,"*,"&amp;C21&amp;",*")+COUNTIF(B9:C9,C21)+COUNTIF(B9:C9,"*,"&amp;C21&amp;",*")+COUNTIF(E9:F9,C21)+COUNTIF(E9:F9,"*,"&amp;C21&amp;",*")+COUNTIF(H9:I9,C21)+COUNTIF(H9:I9,"*,"&amp;C21&amp;",*")+COUNTIF(K9:L9,C21)+COUNTIF(K9:L9,"*,"&amp;C21&amp;",*")+COUNTIF(N9:O9,C21)+COUNTIF(N9:O9,"*,"&amp;C21&amp;",*")+COUNTIF(B11:C11,C21)+COUNTIF(B11:C11,"*,"&amp;C21&amp;",*")+COUNTIF(E11:F11,C21)+COUNTIF(E11:F11,"*,"&amp;C21&amp;",*")+COUNTIF(H11:I11,C21)+COUNTIF(H11:I11,"*,"&amp;C21&amp;",*")+COUNTIF(K11:L11,C21)+COUNTIF(K11:L11,"*,"&amp;C21&amp;",*")+COUNTIF(N11:O11,C21)+COUNTIF(N11:O11,"*,"&amp;C21&amp;",*")+COUNTIF(B13:C13,C21)+COUNTIF(B13:C13,"*,"&amp;C21&amp;",*")+COUNTIF(E13:F13,C21)+COUNTIF(E13:F13,"*,"&amp;C21&amp;",*")+COUNTIF(H13:I13,C21)+COUNTIF(H13:I13,"*,"&amp;C21&amp;",*")+COUNTIF(K13:L13,C21)+COUNTIF(K13:L13,"*,"&amp;C21&amp;",*")+COUNTIF(N13:O13,C21)+COUNTIF(N13:O13,"*,"&amp;C21&amp;",*")+COUNTIF(B15:C15,C21)+COUNTIF(B15:C15,"*,"&amp;C21&amp;",*")+COUNTIF(E15:F15,C21)+COUNTIF(E15:F15,"*,"&amp;C21&amp;",*")+COUNTIF(H15:I15,C21)+COUNTIF(H15:I15,"*,"&amp;C21&amp;",*")+COUNTIF(K15:L15,C21)+COUNTIF(K15:L15,"*,"&amp;C21&amp;",*")+COUNTIF(N15:O15,C21)+COUNTIF(N15:O15,"*,"&amp;C21&amp;",*")+COUNTIF(B17:C17,C21)+COUNTIF(B17:C17,"*,"&amp;C21&amp;",*")+COUNTIF(E17:F17,C21)+COUNTIF(E17:F17,"*,"&amp;C21&amp;",*")+COUNTIF(H17:I17,C21)+COUNTIF(H17:I17,"*,"&amp;C21&amp;",*")+COUNTIF(K17:L17,C21)+COUNTIF(K17:L17,"*,"&amp;C21&amp;",*")+COUNTIF(N17:O17,C21)+COUNTIF(N17:O17,"*,"&amp;C21&amp;",*")))</f>
        <v/>
      </c>
      <c r="D24" s="21">
        <f>IF(D21="","",IF(COUNTIF(B5:C5,D21)+COUNTIF(B5:C5,"*,"&amp;D21&amp;",*")+COUNTIF(E5:F5,D21)+COUNTIF(E5:F5,"*,"&amp;D21&amp;",*")+COUNTIF(H5:I5,D21)+COUNTIF(H5:I5,"*,"&amp;D21&amp;",*")+COUNTIF(K5:L5,D21)+COUNTIF(K5:L5,"*,"&amp;D21&amp;",*")+COUNTIF(N5:O5,D21)+COUNTIF(N5:O5,"*,"&amp;D21&amp;",*")+COUNTIF(B7:C7,D21)+COUNTIF(B7:C7,"*,"&amp;D21&amp;",*")+COUNTIF(E7:F7,D21)+COUNTIF(E7:F7,"*,"&amp;D21&amp;",*")+COUNTIF(H7:I7,D21)+COUNTIF(H7:I7,"*,"&amp;D21&amp;",*")+COUNTIF(K7:L7,D21)+COUNTIF(K7:L7,"*,"&amp;D21&amp;",*")+COUNTIF(N7:O7,D21)+COUNTIF(N7:O7,"*,"&amp;D21&amp;",*")+COUNTIF(B9:C9,D21)+COUNTIF(B9:C9,"*,"&amp;D21&amp;",*")+COUNTIF(E9:F9,D21)+COUNTIF(E9:F9,"*,"&amp;D21&amp;",*")+COUNTIF(H9:I9,D21)+COUNTIF(H9:I9,"*,"&amp;D21&amp;",*")+COUNTIF(K9:L9,D21)+COUNTIF(K9:L9,"*,"&amp;D21&amp;",*")+COUNTIF(N9:O9,D21)+COUNTIF(N9:O9,"*,"&amp;D21&amp;",*")+COUNTIF(B11:C11,D21)+COUNTIF(B11:C11,"*,"&amp;D21&amp;",*")+COUNTIF(E11:F11,D21)+COUNTIF(E11:F11,"*,"&amp;D21&amp;",*")+COUNTIF(H11:I11,D21)+COUNTIF(H11:I11,"*,"&amp;D21&amp;",*")+COUNTIF(K11:L11,D21)+COUNTIF(K11:L11,"*,"&amp;D21&amp;",*")+COUNTIF(N11:O11,D21)+COUNTIF(N11:O11,"*,"&amp;D21&amp;",*")+COUNTIF(B13:C13,D21)+COUNTIF(B13:C13,"*,"&amp;D21&amp;",*")+COUNTIF(E13:F13,D21)+COUNTIF(E13:F13,"*,"&amp;D21&amp;",*")+COUNTIF(H13:I13,D21)+COUNTIF(H13:I13,"*,"&amp;D21&amp;",*")+COUNTIF(K13:L13,D21)+COUNTIF(K13:L13,"*,"&amp;D21&amp;",*")+COUNTIF(N13:O13,D21)+COUNTIF(N13:O13,"*,"&amp;D21&amp;",*")+COUNTIF(B15:C15,D21)+COUNTIF(B15:C15,"*,"&amp;D21&amp;",*")+COUNTIF(E15:F15,D21)+COUNTIF(E15:F15,"*,"&amp;D21&amp;",*")+COUNTIF(H15:I15,D21)+COUNTIF(H15:I15,"*,"&amp;D21&amp;",*")+COUNTIF(K15:L15,D21)+COUNTIF(K15:L15,"*,"&amp;D21&amp;",*")+COUNTIF(N15:O15,D21)+COUNTIF(N15:O15,"*,"&amp;D21&amp;",*")+COUNTIF(B17:C17,D21)+COUNTIF(B17:C17,"*,"&amp;D21&amp;",*")+COUNTIF(E17:F17,D21)+COUNTIF(E17:F17,"*,"&amp;D21&amp;",*")+COUNTIF(H17:I17,D21)+COUNTIF(H17:I17,"*,"&amp;D21&amp;",*")+COUNTIF(K17:L17,D21)+COUNTIF(K17:L17,"*,"&amp;D21&amp;",*")+COUNTIF(N17:O17,D21)+COUNTIF(N17:O17,"*,"&amp;D21&amp;",*")=0,"",COUNTIF(B5:C5,D21)+COUNTIF(B5:C5,"*,"&amp;D21&amp;",*")+COUNTIF(E5:F5,D21)+COUNTIF(E5:F5,"*,"&amp;D21&amp;",*")+COUNTIF(H5:I5,D21)+COUNTIF(H5:I5,"*,"&amp;D21&amp;",*")+COUNTIF(K5:L5,D21)+COUNTIF(K5:L5,"*,"&amp;D21&amp;",*")+COUNTIF(N5:O5,D21)+COUNTIF(N5:O5,"*,"&amp;D21&amp;",*")+COUNTIF(B7:C7,D21)+COUNTIF(B7:C7,"*,"&amp;D21&amp;",*")+COUNTIF(E7:F7,D21)+COUNTIF(E7:F7,"*,"&amp;D21&amp;",*")+COUNTIF(H7:I7,D21)+COUNTIF(H7:I7,"*,"&amp;D21&amp;",*")+COUNTIF(K7:L7,D21)+COUNTIF(K7:L7,"*,"&amp;D21&amp;",*")+COUNTIF(N7:O7,D21)+COUNTIF(N7:O7,"*,"&amp;D21&amp;",*")+COUNTIF(B9:C9,D21)+COUNTIF(B9:C9,"*,"&amp;D21&amp;",*")+COUNTIF(E9:F9,D21)+COUNTIF(E9:F9,"*,"&amp;D21&amp;",*")+COUNTIF(H9:I9,D21)+COUNTIF(H9:I9,"*,"&amp;D21&amp;",*")+COUNTIF(K9:L9,D21)+COUNTIF(K9:L9,"*,"&amp;D21&amp;",*")+COUNTIF(N9:O9,D21)+COUNTIF(N9:O9,"*,"&amp;D21&amp;",*")+COUNTIF(B11:C11,D21)+COUNTIF(B11:C11,"*,"&amp;D21&amp;",*")+COUNTIF(E11:F11,D21)+COUNTIF(E11:F11,"*,"&amp;D21&amp;",*")+COUNTIF(H11:I11,D21)+COUNTIF(H11:I11,"*,"&amp;D21&amp;",*")+COUNTIF(K11:L11,D21)+COUNTIF(K11:L11,"*,"&amp;D21&amp;",*")+COUNTIF(N11:O11,D21)+COUNTIF(N11:O11,"*,"&amp;D21&amp;",*")+COUNTIF(B13:C13,D21)+COUNTIF(B13:C13,"*,"&amp;D21&amp;",*")+COUNTIF(E13:F13,D21)+COUNTIF(E13:F13,"*,"&amp;D21&amp;",*")+COUNTIF(H13:I13,D21)+COUNTIF(H13:I13,"*,"&amp;D21&amp;",*")+COUNTIF(K13:L13,D21)+COUNTIF(K13:L13,"*,"&amp;D21&amp;",*")+COUNTIF(N13:O13,D21)+COUNTIF(N13:O13,"*,"&amp;D21&amp;",*")+COUNTIF(B15:C15,D21)+COUNTIF(B15:C15,"*,"&amp;D21&amp;",*")+COUNTIF(E15:F15,D21)+COUNTIF(E15:F15,"*,"&amp;D21&amp;",*")+COUNTIF(H15:I15,D21)+COUNTIF(H15:I15,"*,"&amp;D21&amp;",*")+COUNTIF(K15:L15,D21)+COUNTIF(K15:L15,"*,"&amp;D21&amp;",*")+COUNTIF(N15:O15,D21)+COUNTIF(N15:O15,"*,"&amp;D21&amp;",*")+COUNTIF(B17:C17,D21)+COUNTIF(B17:C17,"*,"&amp;D21&amp;",*")+COUNTIF(E17:F17,D21)+COUNTIF(E17:F17,"*,"&amp;D21&amp;",*")+COUNTIF(H17:I17,D21)+COUNTIF(H17:I17,"*,"&amp;D21&amp;",*")+COUNTIF(K17:L17,D21)+COUNTIF(K17:L17,"*,"&amp;D21&amp;",*")+COUNTIF(N17:O17,D21)+COUNTIF(N17:O17,"*,"&amp;D21&amp;",*")))</f>
        <v/>
      </c>
      <c r="E24" s="21">
        <f>IF(E21="","",IF(COUNTIF(B5:C5,E21)+COUNTIF(B5:C5,"*,"&amp;E21&amp;",*")+COUNTIF(E5:F5,E21)+COUNTIF(E5:F5,"*,"&amp;E21&amp;",*")+COUNTIF(H5:I5,E21)+COUNTIF(H5:I5,"*,"&amp;E21&amp;",*")+COUNTIF(K5:L5,E21)+COUNTIF(K5:L5,"*,"&amp;E21&amp;",*")+COUNTIF(N5:O5,E21)+COUNTIF(N5:O5,"*,"&amp;E21&amp;",*")+COUNTIF(B7:C7,E21)+COUNTIF(B7:C7,"*,"&amp;E21&amp;",*")+COUNTIF(E7:F7,E21)+COUNTIF(E7:F7,"*,"&amp;E21&amp;",*")+COUNTIF(H7:I7,E21)+COUNTIF(H7:I7,"*,"&amp;E21&amp;",*")+COUNTIF(K7:L7,E21)+COUNTIF(K7:L7,"*,"&amp;E21&amp;",*")+COUNTIF(N7:O7,E21)+COUNTIF(N7:O7,"*,"&amp;E21&amp;",*")+COUNTIF(B9:C9,E21)+COUNTIF(B9:C9,"*,"&amp;E21&amp;",*")+COUNTIF(E9:F9,E21)+COUNTIF(E9:F9,"*,"&amp;E21&amp;",*")+COUNTIF(H9:I9,E21)+COUNTIF(H9:I9,"*,"&amp;E21&amp;",*")+COUNTIF(K9:L9,E21)+COUNTIF(K9:L9,"*,"&amp;E21&amp;",*")+COUNTIF(N9:O9,E21)+COUNTIF(N9:O9,"*,"&amp;E21&amp;",*")+COUNTIF(B11:C11,E21)+COUNTIF(B11:C11,"*,"&amp;E21&amp;",*")+COUNTIF(E11:F11,E21)+COUNTIF(E11:F11,"*,"&amp;E21&amp;",*")+COUNTIF(H11:I11,E21)+COUNTIF(H11:I11,"*,"&amp;E21&amp;",*")+COUNTIF(K11:L11,E21)+COUNTIF(K11:L11,"*,"&amp;E21&amp;",*")+COUNTIF(N11:O11,E21)+COUNTIF(N11:O11,"*,"&amp;E21&amp;",*")+COUNTIF(B13:C13,E21)+COUNTIF(B13:C13,"*,"&amp;E21&amp;",*")+COUNTIF(E13:F13,E21)+COUNTIF(E13:F13,"*,"&amp;E21&amp;",*")+COUNTIF(H13:I13,E21)+COUNTIF(H13:I13,"*,"&amp;E21&amp;",*")+COUNTIF(K13:L13,E21)+COUNTIF(K13:L13,"*,"&amp;E21&amp;",*")+COUNTIF(N13:O13,E21)+COUNTIF(N13:O13,"*,"&amp;E21&amp;",*")+COUNTIF(B15:C15,E21)+COUNTIF(B15:C15,"*,"&amp;E21&amp;",*")+COUNTIF(E15:F15,E21)+COUNTIF(E15:F15,"*,"&amp;E21&amp;",*")+COUNTIF(H15:I15,E21)+COUNTIF(H15:I15,"*,"&amp;E21&amp;",*")+COUNTIF(K15:L15,E21)+COUNTIF(K15:L15,"*,"&amp;E21&amp;",*")+COUNTIF(N15:O15,E21)+COUNTIF(N15:O15,"*,"&amp;E21&amp;",*")+COUNTIF(B17:C17,E21)+COUNTIF(B17:C17,"*,"&amp;E21&amp;",*")+COUNTIF(E17:F17,E21)+COUNTIF(E17:F17,"*,"&amp;E21&amp;",*")+COUNTIF(H17:I17,E21)+COUNTIF(H17:I17,"*,"&amp;E21&amp;",*")+COUNTIF(K17:L17,E21)+COUNTIF(K17:L17,"*,"&amp;E21&amp;",*")+COUNTIF(N17:O17,E21)+COUNTIF(N17:O17,"*,"&amp;E21&amp;",*")=0,"",COUNTIF(B5:C5,E21)+COUNTIF(B5:C5,"*,"&amp;E21&amp;",*")+COUNTIF(E5:F5,E21)+COUNTIF(E5:F5,"*,"&amp;E21&amp;",*")+COUNTIF(H5:I5,E21)+COUNTIF(H5:I5,"*,"&amp;E21&amp;",*")+COUNTIF(K5:L5,E21)+COUNTIF(K5:L5,"*,"&amp;E21&amp;",*")+COUNTIF(N5:O5,E21)+COUNTIF(N5:O5,"*,"&amp;E21&amp;",*")+COUNTIF(B7:C7,E21)+COUNTIF(B7:C7,"*,"&amp;E21&amp;",*")+COUNTIF(E7:F7,E21)+COUNTIF(E7:F7,"*,"&amp;E21&amp;",*")+COUNTIF(H7:I7,E21)+COUNTIF(H7:I7,"*,"&amp;E21&amp;",*")+COUNTIF(K7:L7,E21)+COUNTIF(K7:L7,"*,"&amp;E21&amp;",*")+COUNTIF(N7:O7,E21)+COUNTIF(N7:O7,"*,"&amp;E21&amp;",*")+COUNTIF(B9:C9,E21)+COUNTIF(B9:C9,"*,"&amp;E21&amp;",*")+COUNTIF(E9:F9,E21)+COUNTIF(E9:F9,"*,"&amp;E21&amp;",*")+COUNTIF(H9:I9,E21)+COUNTIF(H9:I9,"*,"&amp;E21&amp;",*")+COUNTIF(K9:L9,E21)+COUNTIF(K9:L9,"*,"&amp;E21&amp;",*")+COUNTIF(N9:O9,E21)+COUNTIF(N9:O9,"*,"&amp;E21&amp;",*")+COUNTIF(B11:C11,E21)+COUNTIF(B11:C11,"*,"&amp;E21&amp;",*")+COUNTIF(E11:F11,E21)+COUNTIF(E11:F11,"*,"&amp;E21&amp;",*")+COUNTIF(H11:I11,E21)+COUNTIF(H11:I11,"*,"&amp;E21&amp;",*")+COUNTIF(K11:L11,E21)+COUNTIF(K11:L11,"*,"&amp;E21&amp;",*")+COUNTIF(N11:O11,E21)+COUNTIF(N11:O11,"*,"&amp;E21&amp;",*")+COUNTIF(B13:C13,E21)+COUNTIF(B13:C13,"*,"&amp;E21&amp;",*")+COUNTIF(E13:F13,E21)+COUNTIF(E13:F13,"*,"&amp;E21&amp;",*")+COUNTIF(H13:I13,E21)+COUNTIF(H13:I13,"*,"&amp;E21&amp;",*")+COUNTIF(K13:L13,E21)+COUNTIF(K13:L13,"*,"&amp;E21&amp;",*")+COUNTIF(N13:O13,E21)+COUNTIF(N13:O13,"*,"&amp;E21&amp;",*")+COUNTIF(B15:C15,E21)+COUNTIF(B15:C15,"*,"&amp;E21&amp;",*")+COUNTIF(E15:F15,E21)+COUNTIF(E15:F15,"*,"&amp;E21&amp;",*")+COUNTIF(H15:I15,E21)+COUNTIF(H15:I15,"*,"&amp;E21&amp;",*")+COUNTIF(K15:L15,E21)+COUNTIF(K15:L15,"*,"&amp;E21&amp;",*")+COUNTIF(N15:O15,E21)+COUNTIF(N15:O15,"*,"&amp;E21&amp;",*")+COUNTIF(B17:C17,E21)+COUNTIF(B17:C17,"*,"&amp;E21&amp;",*")+COUNTIF(E17:F17,E21)+COUNTIF(E17:F17,"*,"&amp;E21&amp;",*")+COUNTIF(H17:I17,E21)+COUNTIF(H17:I17,"*,"&amp;E21&amp;",*")+COUNTIF(K17:L17,E21)+COUNTIF(K17:L17,"*,"&amp;E21&amp;",*")+COUNTIF(N17:O17,E21)+COUNTIF(N17:O17,"*,"&amp;E21&amp;",*")))</f>
        <v/>
      </c>
      <c r="F24" s="21">
        <f>IF(F21="","",IF(COUNTIF(B5:C5,F21)+COUNTIF(B5:C5,"*,"&amp;F21&amp;",*")+COUNTIF(E5:F5,F21)+COUNTIF(E5:F5,"*,"&amp;F21&amp;",*")+COUNTIF(H5:I5,F21)+COUNTIF(H5:I5,"*,"&amp;F21&amp;",*")+COUNTIF(K5:L5,F21)+COUNTIF(K5:L5,"*,"&amp;F21&amp;",*")+COUNTIF(N5:O5,F21)+COUNTIF(N5:O5,"*,"&amp;F21&amp;",*")+COUNTIF(B7:C7,F21)+COUNTIF(B7:C7,"*,"&amp;F21&amp;",*")+COUNTIF(E7:F7,F21)+COUNTIF(E7:F7,"*,"&amp;F21&amp;",*")+COUNTIF(H7:I7,F21)+COUNTIF(H7:I7,"*,"&amp;F21&amp;",*")+COUNTIF(K7:L7,F21)+COUNTIF(K7:L7,"*,"&amp;F21&amp;",*")+COUNTIF(N7:O7,F21)+COUNTIF(N7:O7,"*,"&amp;F21&amp;",*")+COUNTIF(B9:C9,F21)+COUNTIF(B9:C9,"*,"&amp;F21&amp;",*")+COUNTIF(E9:F9,F21)+COUNTIF(E9:F9,"*,"&amp;F21&amp;",*")+COUNTIF(H9:I9,F21)+COUNTIF(H9:I9,"*,"&amp;F21&amp;",*")+COUNTIF(K9:L9,F21)+COUNTIF(K9:L9,"*,"&amp;F21&amp;",*")+COUNTIF(N9:O9,F21)+COUNTIF(N9:O9,"*,"&amp;F21&amp;",*")+COUNTIF(B11:C11,F21)+COUNTIF(B11:C11,"*,"&amp;F21&amp;",*")+COUNTIF(E11:F11,F21)+COUNTIF(E11:F11,"*,"&amp;F21&amp;",*")+COUNTIF(H11:I11,F21)+COUNTIF(H11:I11,"*,"&amp;F21&amp;",*")+COUNTIF(K11:L11,F21)+COUNTIF(K11:L11,"*,"&amp;F21&amp;",*")+COUNTIF(N11:O11,F21)+COUNTIF(N11:O11,"*,"&amp;F21&amp;",*")+COUNTIF(B13:C13,F21)+COUNTIF(B13:C13,"*,"&amp;F21&amp;",*")+COUNTIF(E13:F13,F21)+COUNTIF(E13:F13,"*,"&amp;F21&amp;",*")+COUNTIF(H13:I13,F21)+COUNTIF(H13:I13,"*,"&amp;F21&amp;",*")+COUNTIF(K13:L13,F21)+COUNTIF(K13:L13,"*,"&amp;F21&amp;",*")+COUNTIF(N13:O13,F21)+COUNTIF(N13:O13,"*,"&amp;F21&amp;",*")+COUNTIF(B15:C15,F21)+COUNTIF(B15:C15,"*,"&amp;F21&amp;",*")+COUNTIF(E15:F15,F21)+COUNTIF(E15:F15,"*,"&amp;F21&amp;",*")+COUNTIF(H15:I15,F21)+COUNTIF(H15:I15,"*,"&amp;F21&amp;",*")+COUNTIF(K15:L15,F21)+COUNTIF(K15:L15,"*,"&amp;F21&amp;",*")+COUNTIF(N15:O15,F21)+COUNTIF(N15:O15,"*,"&amp;F21&amp;",*")+COUNTIF(B17:C17,F21)+COUNTIF(B17:C17,"*,"&amp;F21&amp;",*")+COUNTIF(E17:F17,F21)+COUNTIF(E17:F17,"*,"&amp;F21&amp;",*")+COUNTIF(H17:I17,F21)+COUNTIF(H17:I17,"*,"&amp;F21&amp;",*")+COUNTIF(K17:L17,F21)+COUNTIF(K17:L17,"*,"&amp;F21&amp;",*")+COUNTIF(N17:O17,F21)+COUNTIF(N17:O17,"*,"&amp;F21&amp;",*")=0,"",COUNTIF(B5:C5,F21)+COUNTIF(B5:C5,"*,"&amp;F21&amp;",*")+COUNTIF(E5:F5,F21)+COUNTIF(E5:F5,"*,"&amp;F21&amp;",*")+COUNTIF(H5:I5,F21)+COUNTIF(H5:I5,"*,"&amp;F21&amp;",*")+COUNTIF(K5:L5,F21)+COUNTIF(K5:L5,"*,"&amp;F21&amp;",*")+COUNTIF(N5:O5,F21)+COUNTIF(N5:O5,"*,"&amp;F21&amp;",*")+COUNTIF(B7:C7,F21)+COUNTIF(B7:C7,"*,"&amp;F21&amp;",*")+COUNTIF(E7:F7,F21)+COUNTIF(E7:F7,"*,"&amp;F21&amp;",*")+COUNTIF(H7:I7,F21)+COUNTIF(H7:I7,"*,"&amp;F21&amp;",*")+COUNTIF(K7:L7,F21)+COUNTIF(K7:L7,"*,"&amp;F21&amp;",*")+COUNTIF(N7:O7,F21)+COUNTIF(N7:O7,"*,"&amp;F21&amp;",*")+COUNTIF(B9:C9,F21)+COUNTIF(B9:C9,"*,"&amp;F21&amp;",*")+COUNTIF(E9:F9,F21)+COUNTIF(E9:F9,"*,"&amp;F21&amp;",*")+COUNTIF(H9:I9,F21)+COUNTIF(H9:I9,"*,"&amp;F21&amp;",*")+COUNTIF(K9:L9,F21)+COUNTIF(K9:L9,"*,"&amp;F21&amp;",*")+COUNTIF(N9:O9,F21)+COUNTIF(N9:O9,"*,"&amp;F21&amp;",*")+COUNTIF(B11:C11,F21)+COUNTIF(B11:C11,"*,"&amp;F21&amp;",*")+COUNTIF(E11:F11,F21)+COUNTIF(E11:F11,"*,"&amp;F21&amp;",*")+COUNTIF(H11:I11,F21)+COUNTIF(H11:I11,"*,"&amp;F21&amp;",*")+COUNTIF(K11:L11,F21)+COUNTIF(K11:L11,"*,"&amp;F21&amp;",*")+COUNTIF(N11:O11,F21)+COUNTIF(N11:O11,"*,"&amp;F21&amp;",*")+COUNTIF(B13:C13,F21)+COUNTIF(B13:C13,"*,"&amp;F21&amp;",*")+COUNTIF(E13:F13,F21)+COUNTIF(E13:F13,"*,"&amp;F21&amp;",*")+COUNTIF(H13:I13,F21)+COUNTIF(H13:I13,"*,"&amp;F21&amp;",*")+COUNTIF(K13:L13,F21)+COUNTIF(K13:L13,"*,"&amp;F21&amp;",*")+COUNTIF(N13:O13,F21)+COUNTIF(N13:O13,"*,"&amp;F21&amp;",*")+COUNTIF(B15:C15,F21)+COUNTIF(B15:C15,"*,"&amp;F21&amp;",*")+COUNTIF(E15:F15,F21)+COUNTIF(E15:F15,"*,"&amp;F21&amp;",*")+COUNTIF(H15:I15,F21)+COUNTIF(H15:I15,"*,"&amp;F21&amp;",*")+COUNTIF(K15:L15,F21)+COUNTIF(K15:L15,"*,"&amp;F21&amp;",*")+COUNTIF(N15:O15,F21)+COUNTIF(N15:O15,"*,"&amp;F21&amp;",*")+COUNTIF(B17:C17,F21)+COUNTIF(B17:C17,"*,"&amp;F21&amp;",*")+COUNTIF(E17:F17,F21)+COUNTIF(E17:F17,"*,"&amp;F21&amp;",*")+COUNTIF(H17:I17,F21)+COUNTIF(H17:I17,"*,"&amp;F21&amp;",*")+COUNTIF(K17:L17,F21)+COUNTIF(K17:L17,"*,"&amp;F21&amp;",*")+COUNTIF(N17:O17,F21)+COUNTIF(N17:O17,"*,"&amp;F21&amp;",*")))</f>
        <v/>
      </c>
      <c r="G24" s="21">
        <f>IF(G21="","",IF(COUNTIF(B5:C5,G21)+COUNTIF(B5:C5,"*,"&amp;G21&amp;",*")+COUNTIF(E5:F5,G21)+COUNTIF(E5:F5,"*,"&amp;G21&amp;",*")+COUNTIF(H5:I5,G21)+COUNTIF(H5:I5,"*,"&amp;G21&amp;",*")+COUNTIF(K5:L5,G21)+COUNTIF(K5:L5,"*,"&amp;G21&amp;",*")+COUNTIF(N5:O5,G21)+COUNTIF(N5:O5,"*,"&amp;G21&amp;",*")+COUNTIF(B7:C7,G21)+COUNTIF(B7:C7,"*,"&amp;G21&amp;",*")+COUNTIF(E7:F7,G21)+COUNTIF(E7:F7,"*,"&amp;G21&amp;",*")+COUNTIF(H7:I7,G21)+COUNTIF(H7:I7,"*,"&amp;G21&amp;",*")+COUNTIF(K7:L7,G21)+COUNTIF(K7:L7,"*,"&amp;G21&amp;",*")+COUNTIF(N7:O7,G21)+COUNTIF(N7:O7,"*,"&amp;G21&amp;",*")+COUNTIF(B9:C9,G21)+COUNTIF(B9:C9,"*,"&amp;G21&amp;",*")+COUNTIF(E9:F9,G21)+COUNTIF(E9:F9,"*,"&amp;G21&amp;",*")+COUNTIF(H9:I9,G21)+COUNTIF(H9:I9,"*,"&amp;G21&amp;",*")+COUNTIF(K9:L9,G21)+COUNTIF(K9:L9,"*,"&amp;G21&amp;",*")+COUNTIF(N9:O9,G21)+COUNTIF(N9:O9,"*,"&amp;G21&amp;",*")+COUNTIF(B11:C11,G21)+COUNTIF(B11:C11,"*,"&amp;G21&amp;",*")+COUNTIF(E11:F11,G21)+COUNTIF(E11:F11,"*,"&amp;G21&amp;",*")+COUNTIF(H11:I11,G21)+COUNTIF(H11:I11,"*,"&amp;G21&amp;",*")+COUNTIF(K11:L11,G21)+COUNTIF(K11:L11,"*,"&amp;G21&amp;",*")+COUNTIF(N11:O11,G21)+COUNTIF(N11:O11,"*,"&amp;G21&amp;",*")+COUNTIF(B13:C13,G21)+COUNTIF(B13:C13,"*,"&amp;G21&amp;",*")+COUNTIF(E13:F13,G21)+COUNTIF(E13:F13,"*,"&amp;G21&amp;",*")+COUNTIF(H13:I13,G21)+COUNTIF(H13:I13,"*,"&amp;G21&amp;",*")+COUNTIF(K13:L13,G21)+COUNTIF(K13:L13,"*,"&amp;G21&amp;",*")+COUNTIF(N13:O13,G21)+COUNTIF(N13:O13,"*,"&amp;G21&amp;",*")+COUNTIF(B15:C15,G21)+COUNTIF(B15:C15,"*,"&amp;G21&amp;",*")+COUNTIF(E15:F15,G21)+COUNTIF(E15:F15,"*,"&amp;G21&amp;",*")+COUNTIF(H15:I15,G21)+COUNTIF(H15:I15,"*,"&amp;G21&amp;",*")+COUNTIF(K15:L15,G21)+COUNTIF(K15:L15,"*,"&amp;G21&amp;",*")+COUNTIF(N15:O15,G21)+COUNTIF(N15:O15,"*,"&amp;G21&amp;",*")+COUNTIF(B17:C17,G21)+COUNTIF(B17:C17,"*,"&amp;G21&amp;",*")+COUNTIF(E17:F17,G21)+COUNTIF(E17:F17,"*,"&amp;G21&amp;",*")+COUNTIF(H17:I17,G21)+COUNTIF(H17:I17,"*,"&amp;G21&amp;",*")+COUNTIF(K17:L17,G21)+COUNTIF(K17:L17,"*,"&amp;G21&amp;",*")+COUNTIF(N17:O17,G21)+COUNTIF(N17:O17,"*,"&amp;G21&amp;",*")=0,"",COUNTIF(B5:C5,G21)+COUNTIF(B5:C5,"*,"&amp;G21&amp;",*")+COUNTIF(E5:F5,G21)+COUNTIF(E5:F5,"*,"&amp;G21&amp;",*")+COUNTIF(H5:I5,G21)+COUNTIF(H5:I5,"*,"&amp;G21&amp;",*")+COUNTIF(K5:L5,G21)+COUNTIF(K5:L5,"*,"&amp;G21&amp;",*")+COUNTIF(N5:O5,G21)+COUNTIF(N5:O5,"*,"&amp;G21&amp;",*")+COUNTIF(B7:C7,G21)+COUNTIF(B7:C7,"*,"&amp;G21&amp;",*")+COUNTIF(E7:F7,G21)+COUNTIF(E7:F7,"*,"&amp;G21&amp;",*")+COUNTIF(H7:I7,G21)+COUNTIF(H7:I7,"*,"&amp;G21&amp;",*")+COUNTIF(K7:L7,G21)+COUNTIF(K7:L7,"*,"&amp;G21&amp;",*")+COUNTIF(N7:O7,G21)+COUNTIF(N7:O7,"*,"&amp;G21&amp;",*")+COUNTIF(B9:C9,G21)+COUNTIF(B9:C9,"*,"&amp;G21&amp;",*")+COUNTIF(E9:F9,G21)+COUNTIF(E9:F9,"*,"&amp;G21&amp;",*")+COUNTIF(H9:I9,G21)+COUNTIF(H9:I9,"*,"&amp;G21&amp;",*")+COUNTIF(K9:L9,G21)+COUNTIF(K9:L9,"*,"&amp;G21&amp;",*")+COUNTIF(N9:O9,G21)+COUNTIF(N9:O9,"*,"&amp;G21&amp;",*")+COUNTIF(B11:C11,G21)+COUNTIF(B11:C11,"*,"&amp;G21&amp;",*")+COUNTIF(E11:F11,G21)+COUNTIF(E11:F11,"*,"&amp;G21&amp;",*")+COUNTIF(H11:I11,G21)+COUNTIF(H11:I11,"*,"&amp;G21&amp;",*")+COUNTIF(K11:L11,G21)+COUNTIF(K11:L11,"*,"&amp;G21&amp;",*")+COUNTIF(N11:O11,G21)+COUNTIF(N11:O11,"*,"&amp;G21&amp;",*")+COUNTIF(B13:C13,G21)+COUNTIF(B13:C13,"*,"&amp;G21&amp;",*")+COUNTIF(E13:F13,G21)+COUNTIF(E13:F13,"*,"&amp;G21&amp;",*")+COUNTIF(H13:I13,G21)+COUNTIF(H13:I13,"*,"&amp;G21&amp;",*")+COUNTIF(K13:L13,G21)+COUNTIF(K13:L13,"*,"&amp;G21&amp;",*")+COUNTIF(N13:O13,G21)+COUNTIF(N13:O13,"*,"&amp;G21&amp;",*")+COUNTIF(B15:C15,G21)+COUNTIF(B15:C15,"*,"&amp;G21&amp;",*")+COUNTIF(E15:F15,G21)+COUNTIF(E15:F15,"*,"&amp;G21&amp;",*")+COUNTIF(H15:I15,G21)+COUNTIF(H15:I15,"*,"&amp;G21&amp;",*")+COUNTIF(K15:L15,G21)+COUNTIF(K15:L15,"*,"&amp;G21&amp;",*")+COUNTIF(N15:O15,G21)+COUNTIF(N15:O15,"*,"&amp;G21&amp;",*")+COUNTIF(B17:C17,G21)+COUNTIF(B17:C17,"*,"&amp;G21&amp;",*")+COUNTIF(E17:F17,G21)+COUNTIF(E17:F17,"*,"&amp;G21&amp;",*")+COUNTIF(H17:I17,G21)+COUNTIF(H17:I17,"*,"&amp;G21&amp;",*")+COUNTIF(K17:L17,G21)+COUNTIF(K17:L17,"*,"&amp;G21&amp;",*")+COUNTIF(N17:O17,G21)+COUNTIF(N17:O17,"*,"&amp;G21&amp;",*")))</f>
        <v/>
      </c>
      <c r="H24" s="21"/>
      <c r="I24" s="21"/>
      <c r="J24" s="21"/>
      <c r="K24" s="21"/>
      <c r="L24" s="21"/>
      <c r="M24" s="21">
        <f>IF(COUNTIF(B5:C5,"特活")+COUNTIF(B5:C5,"学活")+COUNTIF(E5:F5,"特活")+COUNTIF(E5:F5,"学活")+COUNTIF(H5:I5,"特活")+COUNTIF(H5:I5,"学活")+COUNTIF(K5:L5,"特活")+COUNTIF(K5:L5,"学活")+COUNTIF(N5:O5,"特活")+COUNTIF(N5:O5,"学活")+COUNTIF(B7:C7,"特活")+COUNTIF(B7:C7,"学活")+COUNTIF(E7:F7,"特活")+COUNTIF(E7:F7,"学活")+COUNTIF(H7:I7,"特活")+COUNTIF(H7:I7,"学活")+COUNTIF(K7:L7,"特活")+COUNTIF(K7:L7,"学活")+COUNTIF(N7:O7,"特活")+COUNTIF(N7:O7,"学活")+COUNTIF(B9:C9,"特活")+COUNTIF(B9:C9,"学活")+COUNTIF(E9:F9,"特活")+COUNTIF(E9:F9,"学活")+COUNTIF(H9:I9,"特活")+COUNTIF(H9:I9,"学活")+COUNTIF(K9:L9,"特活")+COUNTIF(K9:L9,"学活")+COUNTIF(N9:O9,"特活")+COUNTIF(N9:O9,"学活")+COUNTIF(B11:C11,"特活")+COUNTIF(B11:C11,"学活")+COUNTIF(E11:F11,"特活")+COUNTIF(E11:F11,"学活")+COUNTIF(H11:I11,"特活")+COUNTIF(H11:I11,"学活")+COUNTIF(K11:L11,"特活")+COUNTIF(K11:L11,"学活")+COUNTIF(N11:O11,"特活")+COUNTIF(N11:O11,"学活")+COUNTIF(B13:C13,"特活")+COUNTIF(B13:C13,"学活")+COUNTIF(E13:F13,"特活")+COUNTIF(E13:F13,"学活")+COUNTIF(H13:I13,"特活")+COUNTIF(H13:I13,"学活")+COUNTIF(K13:L13,"特活")+COUNTIF(K13:L13,"学活")+COUNTIF(N13:O13,"特活")+COUNTIF(N13:O13,"学活")+COUNTIF(B15:C15,"特活")+COUNTIF(B15:C15,"学活")+COUNTIF(E15:F15,"特活")+COUNTIF(E15:F15,"学活")+COUNTIF(H15:I15,"特活")+COUNTIF(H15:I15,"学活")+COUNTIF(K15:L15,"特活")+COUNTIF(K15:L15,"学活")+COUNTIF(N15:O15,"特活")+COUNTIF(N15:O15,"学活")+COUNTIF(B17:C17,"特活")+COUNTIF(B17:C17,"学活")+COUNTIF(E17:F17,"特活")+COUNTIF(E17:F17,"学活")+COUNTIF(H17:I17,"特活")+COUNTIF(H17:I17,"学活")+COUNTIF(K17:L17,"特活")+COUNTIF(K17:L17,"学活")+COUNTIF(N17:O17,"特活")+COUNTIF(N17:O17,"学活")=0,"",COUNTIF(B5:C5,"特活")+COUNTIF(B5:C5,"学活")+COUNTIF(E5:F5,"特活")+COUNTIF(E5:F5,"学活")+COUNTIF(H5:I5,"特活")+COUNTIF(H5:I5,"学活")+COUNTIF(K5:L5,"特活")+COUNTIF(K5:L5,"学活")+COUNTIF(N5:O5,"特活")+COUNTIF(N5:O5,"学活")+COUNTIF(B7:C7,"特活")+COUNTIF(B7:C7,"学活")+COUNTIF(E7:F7,"特活")+COUNTIF(E7:F7,"学活")+COUNTIF(H7:I7,"特活")+COUNTIF(H7:I7,"学活")+COUNTIF(K7:L7,"特活")+COUNTIF(K7:L7,"学活")+COUNTIF(N7:O7,"特活")+COUNTIF(N7:O7,"学活")+COUNTIF(B9:C9,"特活")+COUNTIF(B9:C9,"学活")+COUNTIF(E9:F9,"特活")+COUNTIF(E9:F9,"学活")+COUNTIF(H9:I9,"特活")+COUNTIF(H9:I9,"学活")+COUNTIF(K9:L9,"特活")+COUNTIF(K9:L9,"学活")+COUNTIF(N9:O9,"特活")+COUNTIF(N9:O9,"学活")+COUNTIF(B11:C11,"特活")+COUNTIF(B11:C11,"学活")+COUNTIF(E11:F11,"特活")+COUNTIF(E11:F11,"学活")+COUNTIF(H11:I11,"特活")+COUNTIF(H11:I11,"学活")+COUNTIF(K11:L11,"特活")+COUNTIF(K11:L11,"学活")+COUNTIF(N11:O11,"特活")+COUNTIF(N11:O11,"学活")+COUNTIF(B13:C13,"特活")+COUNTIF(B13:C13,"学活")+COUNTIF(E13:F13,"特活")+COUNTIF(E13:F13,"学活")+COUNTIF(H13:I13,"特活")+COUNTIF(H13:I13,"学活")+COUNTIF(K13:L13,"特活")+COUNTIF(K13:L13,"学活")+COUNTIF(N13:O13,"特活")+COUNTIF(N13:O13,"学活")+COUNTIF(B15:C15,"特活")+COUNTIF(B15:C15,"学活")+COUNTIF(E15:F15,"特活")+COUNTIF(E15:F15,"学活")+COUNTIF(H15:I15,"特活")+COUNTIF(H15:I15,"学活")+COUNTIF(K15:L15,"特活")+COUNTIF(K15:L15,"学活")+COUNTIF(N15:O15,"特活")+COUNTIF(N15:O15,"学活")+COUNTIF(B17:C17,"特活")+COUNTIF(B17:C17,"学活")+COUNTIF(E17:F17,"特活")+COUNTIF(E17:F17,"学活")+COUNTIF(H17:I17,"特活")+COUNTIF(H17:I17,"学活")+COUNTIF(K17:L17,"特活")+COUNTIF(K17:L17,"学活")+COUNTIF(N17:O17,"特活")+COUNTIF(N17:O17,"学活"))</f>
        <v/>
      </c>
      <c r="N24" s="21">
        <f>IF(COUNTIF(B5:C5,N21)+COUNTIF(B5:C5,"*,"&amp;N21&amp;",*")+COUNTIF(E5:F5,N21)+COUNTIF(E5:F5,"*,"&amp;N21&amp;",*")+COUNTIF(H5:I5,N21)+COUNTIF(H5:I5,"*,"&amp;N21&amp;",*")+COUNTIF(K5:L5,N21)+COUNTIF(K5:L5,"*,"&amp;N21&amp;",*")+COUNTIF(N5:O5,N21)+COUNTIF(N5:O5,"*,"&amp;N21&amp;",*")+COUNTIF(B7:C7,N21)+COUNTIF(B7:C7,"*,"&amp;N21&amp;",*")+COUNTIF(E7:F7,N21)+COUNTIF(E7:F7,"*,"&amp;N21&amp;",*")+COUNTIF(H7:I7,N21)+COUNTIF(H7:I7,"*,"&amp;N21&amp;",*")+COUNTIF(K7:L7,N21)+COUNTIF(K7:L7,"*,"&amp;N21&amp;",*")+COUNTIF(N7:O7,N21)+COUNTIF(N7:O7,"*,"&amp;N21&amp;",*")+COUNTIF(B9:C9,N21)+COUNTIF(B9:C9,"*,"&amp;N21&amp;",*")+COUNTIF(E9:F9,N21)+COUNTIF(E9:F9,"*,"&amp;N21&amp;",*")+COUNTIF(H9:I9,N21)+COUNTIF(H9:I9,"*,"&amp;N21&amp;",*")+COUNTIF(K9:L9,N21)+COUNTIF(K9:L9,"*,"&amp;N21&amp;",*")+COUNTIF(N9:O9,N21)+COUNTIF(N9:O9,"*,"&amp;N21&amp;",*")+COUNTIF(B11:C11,N21)+COUNTIF(B11:C11,"*,"&amp;N21&amp;",*")+COUNTIF(E11:F11,N21)+COUNTIF(E11:F11,"*,"&amp;N21&amp;",*")+COUNTIF(H11:I11,N21)+COUNTIF(H11:I11,"*,"&amp;N21&amp;",*")+COUNTIF(K11:L11,N21)+COUNTIF(K11:L11,"*,"&amp;N21&amp;",*")+COUNTIF(N11:O11,N21)+COUNTIF(N11:O11,"*,"&amp;N21&amp;",*")+COUNTIF(B13:C13,N21)+COUNTIF(B13:C13,"*,"&amp;N21&amp;",*")+COUNTIF(E13:F13,N21)+COUNTIF(E13:F13,"*,"&amp;N21&amp;",*")+COUNTIF(H13:I13,N21)+COUNTIF(H13:I13,"*,"&amp;N21&amp;",*")+COUNTIF(K13:L13,N21)+COUNTIF(K13:L13,"*,"&amp;N21&amp;",*")+COUNTIF(N13:O13,N21)+COUNTIF(N13:O13,"*,"&amp;N21&amp;",*")+COUNTIF(B15:C15,N21)+COUNTIF(B15:C15,"*,"&amp;N21&amp;",*")+COUNTIF(E15:F15,N21)+COUNTIF(E15:F15,"*,"&amp;N21&amp;",*")+COUNTIF(H15:I15,N21)+COUNTIF(H15:I15,"*,"&amp;N21&amp;",*")+COUNTIF(K15:L15,N21)+COUNTIF(K15:L15,"*,"&amp;N21&amp;",*")+COUNTIF(N15:O15,N21)+COUNTIF(N15:O15,"*,"&amp;N21&amp;",*")+COUNTIF(B17:C17,N21)+COUNTIF(B17:C17,"*,"&amp;N21&amp;",*")+COUNTIF(E17:F17,N21)+COUNTIF(E17:F17,"*,"&amp;N21&amp;",*")+COUNTIF(H17:I17,N21)+COUNTIF(H17:I17,"*,"&amp;N21&amp;",*")+COUNTIF(K17:L17,N21)+COUNTIF(K17:L17,"*,"&amp;N21&amp;",*")+COUNTIF(N17:O17,N21)+COUNTIF(N17:O17,"*,"&amp;N21&amp;",*")=0,"",COUNTIF(B5:C5,N21)+COUNTIF(B5:C5,"*,"&amp;N21&amp;",*")+COUNTIF(E5:F5,N21)+COUNTIF(E5:F5,"*,"&amp;N21&amp;",*")+COUNTIF(H5:I5,N21)+COUNTIF(H5:I5,"*,"&amp;N21&amp;",*")+COUNTIF(K5:L5,N21)+COUNTIF(K5:L5,"*,"&amp;N21&amp;",*")+COUNTIF(N5:O5,N21)+COUNTIF(N5:O5,"*,"&amp;N21&amp;",*")+COUNTIF(B7:C7,N21)+COUNTIF(B7:C7,"*,"&amp;N21&amp;",*")+COUNTIF(E7:F7,N21)+COUNTIF(E7:F7,"*,"&amp;N21&amp;",*")+COUNTIF(H7:I7,N21)+COUNTIF(H7:I7,"*,"&amp;N21&amp;",*")+COUNTIF(K7:L7,N21)+COUNTIF(K7:L7,"*,"&amp;N21&amp;",*")+COUNTIF(N7:O7,N21)+COUNTIF(N7:O7,"*,"&amp;N21&amp;",*")+COUNTIF(B9:C9,N21)+COUNTIF(B9:C9,"*,"&amp;N21&amp;",*")+COUNTIF(E9:F9,N21)+COUNTIF(E9:F9,"*,"&amp;N21&amp;",*")+COUNTIF(H9:I9,N21)+COUNTIF(H9:I9,"*,"&amp;N21&amp;",*")+COUNTIF(K9:L9,N21)+COUNTIF(K9:L9,"*,"&amp;N21&amp;",*")+COUNTIF(N9:O9,N21)+COUNTIF(N9:O9,"*,"&amp;N21&amp;",*")+COUNTIF(B11:C11,N21)+COUNTIF(B11:C11,"*,"&amp;N21&amp;",*")+COUNTIF(E11:F11,N21)+COUNTIF(E11:F11,"*,"&amp;N21&amp;",*")+COUNTIF(H11:I11,N21)+COUNTIF(H11:I11,"*,"&amp;N21&amp;",*")+COUNTIF(K11:L11,N21)+COUNTIF(K11:L11,"*,"&amp;N21&amp;",*")+COUNTIF(N11:O11,N21)+COUNTIF(N11:O11,"*,"&amp;N21&amp;",*")+COUNTIF(B13:C13,N21)+COUNTIF(B13:C13,"*,"&amp;N21&amp;",*")+COUNTIF(E13:F13,N21)+COUNTIF(E13:F13,"*,"&amp;N21&amp;",*")+COUNTIF(H13:I13,N21)+COUNTIF(H13:I13,"*,"&amp;N21&amp;",*")+COUNTIF(K13:L13,N21)+COUNTIF(K13:L13,"*,"&amp;N21&amp;",*")+COUNTIF(N13:O13,N21)+COUNTIF(N13:O13,"*,"&amp;N21&amp;",*")+COUNTIF(B15:C15,N21)+COUNTIF(B15:C15,"*,"&amp;N21&amp;",*")+COUNTIF(E15:F15,N21)+COUNTIF(E15:F15,"*,"&amp;N21&amp;",*")+COUNTIF(H15:I15,N21)+COUNTIF(H15:I15,"*,"&amp;N21&amp;",*")+COUNTIF(K15:L15,N21)+COUNTIF(K15:L15,"*,"&amp;N21&amp;",*")+COUNTIF(N15:O15,N21)+COUNTIF(N15:O15,"*,"&amp;N21&amp;",*")+COUNTIF(B17:C17,N21)+COUNTIF(B17:C17,"*,"&amp;N21&amp;",*")+COUNTIF(E17:F17,N21)+COUNTIF(E17:F17,"*,"&amp;N21&amp;",*")+COUNTIF(H17:I17,N21)+COUNTIF(H17:I17,"*,"&amp;N21&amp;",*")+COUNTIF(K17:L17,N21)+COUNTIF(K17:L17,"*,"&amp;N21&amp;",*")+COUNTIF(N17:O17,N21)+COUNTIF(N17:O17,"*,"&amp;N21&amp;",*"))</f>
        <v/>
      </c>
      <c r="O24" s="21">
        <f>IF(COUNTIF(B5:C5,O21)+COUNTIF(B5:C5,"*,"&amp;O21&amp;",*")+COUNTIF(E5:F5,O21)+COUNTIF(E5:F5,"*,"&amp;O21&amp;",*")+COUNTIF(H5:I5,O21)+COUNTIF(H5:I5,"*,"&amp;O21&amp;",*")+COUNTIF(K5:L5,O21)+COUNTIF(K5:L5,"*,"&amp;O21&amp;",*")+COUNTIF(N5:O5,O21)+COUNTIF(N5:O5,"*,"&amp;O21&amp;",*")+COUNTIF(B7:C7,O21)+COUNTIF(B7:C7,"*,"&amp;O21&amp;",*")+COUNTIF(E7:F7,O21)+COUNTIF(E7:F7,"*,"&amp;O21&amp;",*")+COUNTIF(H7:I7,O21)+COUNTIF(H7:I7,"*,"&amp;O21&amp;",*")+COUNTIF(K7:L7,O21)+COUNTIF(K7:L7,"*,"&amp;O21&amp;",*")+COUNTIF(N7:O7,O21)+COUNTIF(N7:O7,"*,"&amp;O21&amp;",*")+COUNTIF(B9:C9,O21)+COUNTIF(B9:C9,"*,"&amp;O21&amp;",*")+COUNTIF(E9:F9,O21)+COUNTIF(E9:F9,"*,"&amp;O21&amp;",*")+COUNTIF(H9:I9,O21)+COUNTIF(H9:I9,"*,"&amp;O21&amp;",*")+COUNTIF(K9:L9,O21)+COUNTIF(K9:L9,"*,"&amp;O21&amp;",*")+COUNTIF(N9:O9,O21)+COUNTIF(N9:O9,"*,"&amp;O21&amp;",*")+COUNTIF(B11:C11,O21)+COUNTIF(B11:C11,"*,"&amp;O21&amp;",*")+COUNTIF(E11:F11,O21)+COUNTIF(E11:F11,"*,"&amp;O21&amp;",*")+COUNTIF(H11:I11,O21)+COUNTIF(H11:I11,"*,"&amp;O21&amp;",*")+COUNTIF(K11:L11,O21)+COUNTIF(K11:L11,"*,"&amp;O21&amp;",*")+COUNTIF(N11:O11,O21)+COUNTIF(N11:O11,"*,"&amp;O21&amp;",*")+COUNTIF(B13:C13,O21)+COUNTIF(B13:C13,"*,"&amp;O21&amp;",*")+COUNTIF(E13:F13,O21)+COUNTIF(E13:F13,"*,"&amp;O21&amp;",*")+COUNTIF(H13:I13,O21)+COUNTIF(H13:I13,"*,"&amp;O21&amp;",*")+COUNTIF(K13:L13,O21)+COUNTIF(K13:L13,"*,"&amp;O21&amp;",*")+COUNTIF(N13:O13,O21)+COUNTIF(N13:O13,"*,"&amp;O21&amp;",*")+COUNTIF(B15:C15,O21)+COUNTIF(B15:C15,"*,"&amp;O21&amp;",*")+COUNTIF(E15:F15,O21)+COUNTIF(E15:F15,"*,"&amp;O21&amp;",*")+COUNTIF(H15:I15,O21)+COUNTIF(H15:I15,"*,"&amp;O21&amp;",*")+COUNTIF(K15:L15,O21)+COUNTIF(K15:L15,"*,"&amp;O21&amp;",*")+COUNTIF(N15:O15,O21)+COUNTIF(N15:O15,"*,"&amp;O21&amp;",*")+COUNTIF(B17:C17,O21)+COUNTIF(B17:C17,"*,"&amp;O21&amp;",*")+COUNTIF(E17:F17,O21)+COUNTIF(E17:F17,"*,"&amp;O21&amp;",*")+COUNTIF(H17:I17,O21)+COUNTIF(H17:I17,"*,"&amp;O21&amp;",*")+COUNTIF(K17:L17,O21)+COUNTIF(K17:L17,"*,"&amp;O21&amp;",*")+COUNTIF(N17:O17,O21)+COUNTIF(N17:O17,"*,"&amp;O21&amp;",*")=0,"",COUNTIF(B5:C5,O21)+COUNTIF(B5:C5,"*,"&amp;O21&amp;",*")+COUNTIF(E5:F5,O21)+COUNTIF(E5:F5,"*,"&amp;O21&amp;",*")+COUNTIF(H5:I5,O21)+COUNTIF(H5:I5,"*,"&amp;O21&amp;",*")+COUNTIF(K5:L5,O21)+COUNTIF(K5:L5,"*,"&amp;O21&amp;",*")+COUNTIF(N5:O5,O21)+COUNTIF(N5:O5,"*,"&amp;O21&amp;",*")+COUNTIF(B7:C7,O21)+COUNTIF(B7:C7,"*,"&amp;O21&amp;",*")+COUNTIF(E7:F7,O21)+COUNTIF(E7:F7,"*,"&amp;O21&amp;",*")+COUNTIF(H7:I7,O21)+COUNTIF(H7:I7,"*,"&amp;O21&amp;",*")+COUNTIF(K7:L7,O21)+COUNTIF(K7:L7,"*,"&amp;O21&amp;",*")+COUNTIF(N7:O7,O21)+COUNTIF(N7:O7,"*,"&amp;O21&amp;",*")+COUNTIF(B9:C9,O21)+COUNTIF(B9:C9,"*,"&amp;O21&amp;",*")+COUNTIF(E9:F9,O21)+COUNTIF(E9:F9,"*,"&amp;O21&amp;",*")+COUNTIF(H9:I9,O21)+COUNTIF(H9:I9,"*,"&amp;O21&amp;",*")+COUNTIF(K9:L9,O21)+COUNTIF(K9:L9,"*,"&amp;O21&amp;",*")+COUNTIF(N9:O9,O21)+COUNTIF(N9:O9,"*,"&amp;O21&amp;",*")+COUNTIF(B11:C11,O21)+COUNTIF(B11:C11,"*,"&amp;O21&amp;",*")+COUNTIF(E11:F11,O21)+COUNTIF(E11:F11,"*,"&amp;O21&amp;",*")+COUNTIF(H11:I11,O21)+COUNTIF(H11:I11,"*,"&amp;O21&amp;",*")+COUNTIF(K11:L11,O21)+COUNTIF(K11:L11,"*,"&amp;O21&amp;",*")+COUNTIF(N11:O11,O21)+COUNTIF(N11:O11,"*,"&amp;O21&amp;",*")+COUNTIF(B13:C13,O21)+COUNTIF(B13:C13,"*,"&amp;O21&amp;",*")+COUNTIF(E13:F13,O21)+COUNTIF(E13:F13,"*,"&amp;O21&amp;",*")+COUNTIF(H13:I13,O21)+COUNTIF(H13:I13,"*,"&amp;O21&amp;",*")+COUNTIF(K13:L13,O21)+COUNTIF(K13:L13,"*,"&amp;O21&amp;",*")+COUNTIF(N13:O13,O21)+COUNTIF(N13:O13,"*,"&amp;O21&amp;",*")+COUNTIF(B15:C15,O21)+COUNTIF(B15:C15,"*,"&amp;O21&amp;",*")+COUNTIF(E15:F15,O21)+COUNTIF(E15:F15,"*,"&amp;O21&amp;",*")+COUNTIF(H15:I15,O21)+COUNTIF(H15:I15,"*,"&amp;O21&amp;",*")+COUNTIF(K15:L15,O21)+COUNTIF(K15:L15,"*,"&amp;O21&amp;",*")+COUNTIF(N15:O15,O21)+COUNTIF(N15:O15,"*,"&amp;O21&amp;",*")+COUNTIF(B17:C17,O21)+COUNTIF(B17:C17,"*,"&amp;O21&amp;",*")+COUNTIF(E17:F17,O21)+COUNTIF(E17:F17,"*,"&amp;O21&amp;",*")+COUNTIF(H17:I17,O21)+COUNTIF(H17:I17,"*,"&amp;O21&amp;",*")+COUNTIF(K17:L17,O21)+COUNTIF(K17:L17,"*,"&amp;O21&amp;",*")+COUNTIF(N17:O17,O21)+COUNTIF(N17:O17,"*,"&amp;O21&amp;",*"))</f>
        <v/>
      </c>
      <c r="P24" s="22">
        <f>IF(SUM(B24:O24)=0,"",SUM(B24:O24))</f>
        <v/>
      </c>
    </row>
    <row r="25" spans="1:16" ht="13.5" customHeight="1" x14ac:dyDescent="0.2">
      <c r="A25" s="23" t="s">
        <v>52</v>
      </c>
      <c r="B25" s="26"/>
      <c r="C25" s="26"/>
      <c r="D25" s="26"/>
      <c r="E25" s="26"/>
      <c r="F25" s="26"/>
      <c r="G25" s="26"/>
      <c r="H25" s="26"/>
      <c r="I25" s="26"/>
      <c r="J25" s="26"/>
      <c r="K25" s="26"/>
      <c r="L25" s="26"/>
      <c r="M25" s="26"/>
      <c r="N25" s="26"/>
      <c r="O25" s="24"/>
      <c r="P25" s="18">
        <f>IF(SUM(B25:O25)=0,"",SUM(B25:O25))</f>
        <v/>
      </c>
    </row>
  </sheetData>
  <sheetProtection sheet="1" objects="1" scenarios="1"/>
  <mergeCells count="104">
    <mergeCell ref="B19:D19"/>
    <mergeCell ref="E19:G19"/>
    <mergeCell ref="H19:J19"/>
    <mergeCell ref="K19:M19"/>
    <mergeCell ref="N19:P19"/>
    <mergeCell ref="A23:A24"/>
    <mergeCell ref="N17:O17"/>
    <mergeCell ref="B18:D18"/>
    <mergeCell ref="E18:G18"/>
    <mergeCell ref="H18:J18"/>
    <mergeCell ref="K18:M18"/>
    <mergeCell ref="N18:P18"/>
    <mergeCell ref="B16:D16"/>
    <mergeCell ref="E16:G16"/>
    <mergeCell ref="H16:J16"/>
    <mergeCell ref="K16:M16"/>
    <mergeCell ref="N16:P16"/>
    <mergeCell ref="A17:A18"/>
    <mergeCell ref="B17:C17"/>
    <mergeCell ref="E17:F17"/>
    <mergeCell ref="H17:I17"/>
    <mergeCell ref="K17:L17"/>
    <mergeCell ref="E14:G14"/>
    <mergeCell ref="H14:J14"/>
    <mergeCell ref="K14:M14"/>
    <mergeCell ref="N14:P14"/>
    <mergeCell ref="A15:A16"/>
    <mergeCell ref="B15:C15"/>
    <mergeCell ref="E15:F15"/>
    <mergeCell ref="H15:I15"/>
    <mergeCell ref="K15:L15"/>
    <mergeCell ref="N15:O15"/>
    <mergeCell ref="H12:J12"/>
    <mergeCell ref="K12:M12"/>
    <mergeCell ref="N12:P12"/>
    <mergeCell ref="A13:A14"/>
    <mergeCell ref="B13:C13"/>
    <mergeCell ref="E13:F13"/>
    <mergeCell ref="H13:I13"/>
    <mergeCell ref="K13:L13"/>
    <mergeCell ref="N13:O13"/>
    <mergeCell ref="B14:D14"/>
    <mergeCell ref="K10:M10"/>
    <mergeCell ref="N10:P10"/>
    <mergeCell ref="A11:A12"/>
    <mergeCell ref="B11:C11"/>
    <mergeCell ref="E11:F11"/>
    <mergeCell ref="H11:I11"/>
    <mergeCell ref="K11:L11"/>
    <mergeCell ref="N11:O11"/>
    <mergeCell ref="B12:D12"/>
    <mergeCell ref="E12:G12"/>
    <mergeCell ref="N8:P8"/>
    <mergeCell ref="A9:A10"/>
    <mergeCell ref="B9:C9"/>
    <mergeCell ref="E9:F9"/>
    <mergeCell ref="H9:I9"/>
    <mergeCell ref="K9:L9"/>
    <mergeCell ref="N9:O9"/>
    <mergeCell ref="B10:D10"/>
    <mergeCell ref="E10:G10"/>
    <mergeCell ref="H10:J10"/>
    <mergeCell ref="A7:A8"/>
    <mergeCell ref="B7:C7"/>
    <mergeCell ref="E7:F7"/>
    <mergeCell ref="H7:I7"/>
    <mergeCell ref="K7:L7"/>
    <mergeCell ref="N7:O7"/>
    <mergeCell ref="B8:D8"/>
    <mergeCell ref="E8:G8"/>
    <mergeCell ref="H8:J8"/>
    <mergeCell ref="K8:M8"/>
    <mergeCell ref="N5:O5"/>
    <mergeCell ref="B6:D6"/>
    <mergeCell ref="E6:G6"/>
    <mergeCell ref="H6:J6"/>
    <mergeCell ref="K6:M6"/>
    <mergeCell ref="N6:P6"/>
    <mergeCell ref="B4:D4"/>
    <mergeCell ref="E4:G4"/>
    <mergeCell ref="H4:J4"/>
    <mergeCell ref="K4:M4"/>
    <mergeCell ref="N4:P4"/>
    <mergeCell ref="A5:A6"/>
    <mergeCell ref="B5:C5"/>
    <mergeCell ref="E5:F5"/>
    <mergeCell ref="H5:I5"/>
    <mergeCell ref="K5:L5"/>
    <mergeCell ref="N2:P2"/>
    <mergeCell ref="B3:D3"/>
    <mergeCell ref="E3:G3"/>
    <mergeCell ref="H3:J3"/>
    <mergeCell ref="K3:M3"/>
    <mergeCell ref="N3:P3"/>
    <mergeCell ref="A1:G1"/>
    <mergeCell ref="I1:J1"/>
    <mergeCell ref="K1:L1"/>
    <mergeCell ref="M1:N1"/>
    <mergeCell ref="O1:P1"/>
    <mergeCell ref="A2:A3"/>
    <mergeCell ref="B2:D2"/>
    <mergeCell ref="E2:G2"/>
    <mergeCell ref="H2:J2"/>
    <mergeCell ref="K2:M2"/>
  </mergeCells>
  <phoneticPr fontId="5"/>
  <dataValidations count="35">
    <dataValidation type="list" allowBlank="1" showInputMessage="1" sqref="D5" xr:uid="{2EAFD8B4-08B1-4ACC-966A-F618C020531B}">
      <formula1>"×,月1,月2,月3,月4,月5,月6,月7,火1,火2,火3,火4,火5,火6,火7,水1,水2,水3,水4,水5,水6,水7,木1,木2,木3,木4,木5,木6,木7,金1,金2,金3,金4,金5,金6,金7"</formula1>
    </dataValidation>
    <dataValidation type="list" allowBlank="1" showInputMessage="1" sqref="G5" xr:uid="{A67640AA-7BB2-459A-9F20-23DE41C7EAAF}">
      <formula1>"×,月1,月2,月3,月4,月5,月6,月7,火1,火2,火3,火4,火5,火6,火7,水1,水2,水3,水4,水5,水6,水7,木1,木2,木3,木4,木5,木6,木7,金1,金2,金3,金4,金5,金6,金7"</formula1>
    </dataValidation>
    <dataValidation type="list" allowBlank="1" showInputMessage="1" sqref="J5" xr:uid="{C524C4A2-700E-447E-B7FC-BBA7F1BF1FAE}">
      <formula1>"×,月1,月2,月3,月4,月5,月6,月7,火1,火2,火3,火4,火5,火6,火7,水1,水2,水3,水4,水5,水6,水7,木1,木2,木3,木4,木5,木6,木7,金1,金2,金3,金4,金5,金6,金7"</formula1>
    </dataValidation>
    <dataValidation type="list" allowBlank="1" showInputMessage="1" sqref="M5" xr:uid="{08350A62-0A8F-4E32-B020-F4972A971631}">
      <formula1>"×,月1,月2,月3,月4,月5,月6,月7,火1,火2,火3,火4,火5,火6,火7,水1,水2,水3,水4,水5,水6,水7,木1,木2,木3,木4,木5,木6,木7,金1,金2,金3,金4,金5,金6,金7"</formula1>
    </dataValidation>
    <dataValidation type="list" allowBlank="1" showInputMessage="1" sqref="P5" xr:uid="{FAF782D9-7923-422A-969C-6DB8178562B3}">
      <formula1>"×,月1,月2,月3,月4,月5,月6,月7,火1,火2,火3,火4,火5,火6,火7,水1,水2,水3,水4,水5,水6,水7,木1,木2,木3,木4,木5,木6,木7,金1,金2,金3,金4,金5,金6,金7"</formula1>
    </dataValidation>
    <dataValidation type="list" allowBlank="1" showInputMessage="1" sqref="D7" xr:uid="{1DAD34CC-28EB-4022-851F-5443F902B63C}">
      <formula1>"×,月1,月2,月3,月4,月5,月6,月7,火1,火2,火3,火4,火5,火6,火7,水1,水2,水3,水4,水5,水6,水7,木1,木2,木3,木4,木5,木6,木7,金1,金2,金3,金4,金5,金6,金7"</formula1>
    </dataValidation>
    <dataValidation type="list" allowBlank="1" showInputMessage="1" sqref="G7" xr:uid="{87F92023-8CEB-4030-B6BD-EB9B3307B64F}">
      <formula1>"×,月1,月2,月3,月4,月5,月6,月7,火1,火2,火3,火4,火5,火6,火7,水1,水2,水3,水4,水5,水6,水7,木1,木2,木3,木4,木5,木6,木7,金1,金2,金3,金4,金5,金6,金7"</formula1>
    </dataValidation>
    <dataValidation type="list" allowBlank="1" showInputMessage="1" sqref="J7" xr:uid="{00661967-CD98-4228-B71D-AA14D7CE274B}">
      <formula1>"×,月1,月2,月3,月4,月5,月6,月7,火1,火2,火3,火4,火5,火6,火7,水1,水2,水3,水4,水5,水6,水7,木1,木2,木3,木4,木5,木6,木7,金1,金2,金3,金4,金5,金6,金7"</formula1>
    </dataValidation>
    <dataValidation type="list" allowBlank="1" showInputMessage="1" sqref="M7" xr:uid="{3DF2197E-A92E-4E65-85E6-4FA69364B401}">
      <formula1>"×,月1,月2,月3,月4,月5,月6,月7,火1,火2,火3,火4,火5,火6,火7,水1,水2,水3,水4,水5,水6,水7,木1,木2,木3,木4,木5,木6,木7,金1,金2,金3,金4,金5,金6,金7"</formula1>
    </dataValidation>
    <dataValidation type="list" allowBlank="1" showInputMessage="1" sqref="P7" xr:uid="{F848BC61-947B-418E-AEBE-118C8FD7E2CE}">
      <formula1>"×,月1,月2,月3,月4,月5,月6,月7,火1,火2,火3,火4,火5,火6,火7,水1,水2,水3,水4,水5,水6,水7,木1,木2,木3,木4,木5,木6,木7,金1,金2,金3,金4,金5,金6,金7"</formula1>
    </dataValidation>
    <dataValidation type="list" allowBlank="1" showInputMessage="1" sqref="D9" xr:uid="{CAB64EA1-E3CB-448E-9867-03710AD6BF99}">
      <formula1>"×,月1,月2,月3,月4,月5,月6,月7,火1,火2,火3,火4,火5,火6,火7,水1,水2,水3,水4,水5,水6,水7,木1,木2,木3,木4,木5,木6,木7,金1,金2,金3,金4,金5,金6,金7"</formula1>
    </dataValidation>
    <dataValidation type="list" allowBlank="1" showInputMessage="1" sqref="G9" xr:uid="{DE61517A-EAA1-4474-BBE4-9DE614C34550}">
      <formula1>"×,月1,月2,月3,月4,月5,月6,月7,火1,火2,火3,火4,火5,火6,火7,水1,水2,水3,水4,水5,水6,水7,木1,木2,木3,木4,木5,木6,木7,金1,金2,金3,金4,金5,金6,金7"</formula1>
    </dataValidation>
    <dataValidation type="list" allowBlank="1" showInputMessage="1" sqref="J9" xr:uid="{11CBAB43-F8F6-4A48-8F6D-3A137C6D3F51}">
      <formula1>"×,月1,月2,月3,月4,月5,月6,月7,火1,火2,火3,火4,火5,火6,火7,水1,水2,水3,水4,水5,水6,水7,木1,木2,木3,木4,木5,木6,木7,金1,金2,金3,金4,金5,金6,金7"</formula1>
    </dataValidation>
    <dataValidation type="list" allowBlank="1" showInputMessage="1" sqref="M9" xr:uid="{CC091DB0-A81B-4197-AFEF-D1B4DAAE9DE6}">
      <formula1>"×,月1,月2,月3,月4,月5,月6,月7,火1,火2,火3,火4,火5,火6,火7,水1,水2,水3,水4,水5,水6,水7,木1,木2,木3,木4,木5,木6,木7,金1,金2,金3,金4,金5,金6,金7"</formula1>
    </dataValidation>
    <dataValidation type="list" allowBlank="1" showInputMessage="1" sqref="P9" xr:uid="{081A25AB-E5F6-4BB1-B2C0-E9B7914A0E73}">
      <formula1>"×,月1,月2,月3,月4,月5,月6,月7,火1,火2,火3,火4,火5,火6,火7,水1,水2,水3,水4,水5,水6,水7,木1,木2,木3,木4,木5,木6,木7,金1,金2,金3,金4,金5,金6,金7"</formula1>
    </dataValidation>
    <dataValidation type="list" allowBlank="1" showInputMessage="1" sqref="D11" xr:uid="{CCE4F821-AD1B-4E7E-A8AF-8663C9D522D8}">
      <formula1>"×,月1,月2,月3,月4,月5,月6,月7,火1,火2,火3,火4,火5,火6,火7,水1,水2,水3,水4,水5,水6,水7,木1,木2,木3,木4,木5,木6,木7,金1,金2,金3,金4,金5,金6,金7"</formula1>
    </dataValidation>
    <dataValidation type="list" allowBlank="1" showInputMessage="1" sqref="G11" xr:uid="{CFAF75E1-E5D5-4BB5-897F-688EBD1BB79C}">
      <formula1>"×,月1,月2,月3,月4,月5,月6,月7,火1,火2,火3,火4,火5,火6,火7,水1,水2,水3,水4,水5,水6,水7,木1,木2,木3,木4,木5,木6,木7,金1,金2,金3,金4,金5,金6,金7"</formula1>
    </dataValidation>
    <dataValidation type="list" allowBlank="1" showInputMessage="1" sqref="J11" xr:uid="{5B718417-6C12-4B38-ACE5-86B185C7B399}">
      <formula1>"×,月1,月2,月3,月4,月5,月6,月7,火1,火2,火3,火4,火5,火6,火7,水1,水2,水3,水4,水5,水6,水7,木1,木2,木3,木4,木5,木6,木7,金1,金2,金3,金4,金5,金6,金7"</formula1>
    </dataValidation>
    <dataValidation type="list" allowBlank="1" showInputMessage="1" sqref="M11" xr:uid="{B17F8D35-419D-4891-83C0-5813F67975AC}">
      <formula1>"×,月1,月2,月3,月4,月5,月6,月7,火1,火2,火3,火4,火5,火6,火7,水1,水2,水3,水4,水5,水6,水7,木1,木2,木3,木4,木5,木6,木7,金1,金2,金3,金4,金5,金6,金7"</formula1>
    </dataValidation>
    <dataValidation type="list" allowBlank="1" showInputMessage="1" sqref="P11" xr:uid="{C26FE249-959A-4328-B3A9-831670094E2B}">
      <formula1>"×,月1,月2,月3,月4,月5,月6,月7,火1,火2,火3,火4,火5,火6,火7,水1,水2,水3,水4,水5,水6,水7,木1,木2,木3,木4,木5,木6,木7,金1,金2,金3,金4,金5,金6,金7"</formula1>
    </dataValidation>
    <dataValidation type="list" allowBlank="1" showInputMessage="1" sqref="D13" xr:uid="{F41C2419-BA90-4BF7-B712-E21BBD64D9C7}">
      <formula1>"×,月1,月2,月3,月4,月5,月6,月7,火1,火2,火3,火4,火5,火6,火7,水1,水2,水3,水4,水5,水6,水7,木1,木2,木3,木4,木5,木6,木7,金1,金2,金3,金4,金5,金6,金7"</formula1>
    </dataValidation>
    <dataValidation type="list" allowBlank="1" showInputMessage="1" sqref="G13" xr:uid="{7553F11A-67F7-4641-BB5E-146417924120}">
      <formula1>"×,月1,月2,月3,月4,月5,月6,月7,火1,火2,火3,火4,火5,火6,火7,水1,水2,水3,水4,水5,水6,水7,木1,木2,木3,木4,木5,木6,木7,金1,金2,金3,金4,金5,金6,金7"</formula1>
    </dataValidation>
    <dataValidation type="list" allowBlank="1" showInputMessage="1" sqref="J13" xr:uid="{7227D580-8A4B-4DF0-8909-0F942395066E}">
      <formula1>"×,月1,月2,月3,月4,月5,月6,月7,火1,火2,火3,火4,火5,火6,火7,水1,水2,水3,水4,水5,水6,水7,木1,木2,木3,木4,木5,木6,木7,金1,金2,金3,金4,金5,金6,金7"</formula1>
    </dataValidation>
    <dataValidation type="list" allowBlank="1" showInputMessage="1" sqref="M13" xr:uid="{B1E14092-986A-44F1-880D-0508ADDE83A3}">
      <formula1>"×,月1,月2,月3,月4,月5,月6,月7,火1,火2,火3,火4,火5,火6,火7,水1,水2,水3,水4,水5,水6,水7,木1,木2,木3,木4,木5,木6,木7,金1,金2,金3,金4,金5,金6,金7"</formula1>
    </dataValidation>
    <dataValidation type="list" allowBlank="1" showInputMessage="1" sqref="P13" xr:uid="{B5159737-5201-41C7-AEC1-EE1D716E9C38}">
      <formula1>"×,月1,月2,月3,月4,月5,月6,月7,火1,火2,火3,火4,火5,火6,火7,水1,水2,水3,水4,水5,水6,水7,木1,木2,木3,木4,木5,木6,木7,金1,金2,金3,金4,金5,金6,金7"</formula1>
    </dataValidation>
    <dataValidation type="list" allowBlank="1" showInputMessage="1" sqref="D15" xr:uid="{F837AC5A-4D61-4E5D-9B3F-090EE3327DFC}">
      <formula1>"×,月1,月2,月3,月4,月5,月6,月7,火1,火2,火3,火4,火5,火6,火7,水1,水2,水3,水4,水5,水6,水7,木1,木2,木3,木4,木5,木6,木7,金1,金2,金3,金4,金5,金6,金7"</formula1>
    </dataValidation>
    <dataValidation type="list" allowBlank="1" showInputMessage="1" sqref="G15" xr:uid="{C004204E-1EC7-4ED6-9D99-9D8B8F51B3D8}">
      <formula1>"×,月1,月2,月3,月4,月5,月6,月7,火1,火2,火3,火4,火5,火6,火7,水1,水2,水3,水4,水5,水6,水7,木1,木2,木3,木4,木5,木6,木7,金1,金2,金3,金4,金5,金6,金7"</formula1>
    </dataValidation>
    <dataValidation type="list" allowBlank="1" showInputMessage="1" sqref="J15" xr:uid="{0F26D754-F090-41A0-A26B-1E2A8D8170BB}">
      <formula1>"×,月1,月2,月3,月4,月5,月6,月7,火1,火2,火3,火4,火5,火6,火7,水1,水2,水3,水4,水5,水6,水7,木1,木2,木3,木4,木5,木6,木7,金1,金2,金3,金4,金5,金6,金7"</formula1>
    </dataValidation>
    <dataValidation type="list" allowBlank="1" showInputMessage="1" sqref="M15" xr:uid="{0B8EB5FF-4171-47DD-9A9A-E75BAF8B6A38}">
      <formula1>"×,月1,月2,月3,月4,月5,月6,月7,火1,火2,火3,火4,火5,火6,火7,水1,水2,水3,水4,水5,水6,水7,木1,木2,木3,木4,木5,木6,木7,金1,金2,金3,金4,金5,金6,金7"</formula1>
    </dataValidation>
    <dataValidation type="list" allowBlank="1" showInputMessage="1" sqref="P15" xr:uid="{243746E8-B86D-4B58-83AB-0083774AED17}">
      <formula1>"×,月1,月2,月3,月4,月5,月6,月7,火1,火2,火3,火4,火5,火6,火7,水1,水2,水3,水4,水5,水6,水7,木1,木2,木3,木4,木5,木6,木7,金1,金2,金3,金4,金5,金6,金7"</formula1>
    </dataValidation>
    <dataValidation type="list" allowBlank="1" showInputMessage="1" sqref="D17" xr:uid="{E8C9BB88-531A-466B-8C81-846EC325222A}">
      <formula1>"×,月1,月2,月3,月4,月5,月6,月7,火1,火2,火3,火4,火5,火6,火7,水1,水2,水3,水4,水5,水6,水7,木1,木2,木3,木4,木5,木6,木7,金1,金2,金3,金4,金5,金6,金7"</formula1>
    </dataValidation>
    <dataValidation type="list" allowBlank="1" showInputMessage="1" sqref="G17" xr:uid="{8C87F68D-A82B-4D29-A03E-B0AEC079F47F}">
      <formula1>"×,月1,月2,月3,月4,月5,月6,月7,火1,火2,火3,火4,火5,火6,火7,水1,水2,水3,水4,水5,水6,水7,木1,木2,木3,木4,木5,木6,木7,金1,金2,金3,金4,金5,金6,金7"</formula1>
    </dataValidation>
    <dataValidation type="list" allowBlank="1" showInputMessage="1" sqref="J17" xr:uid="{B25BBF3D-99C7-4ED6-B96F-B2090D6EF0BB}">
      <formula1>"×,月1,月2,月3,月4,月5,月6,月7,火1,火2,火3,火4,火5,火6,火7,水1,水2,水3,水4,水5,水6,水7,木1,木2,木3,木4,木5,木6,木7,金1,金2,金3,金4,金5,金6,金7"</formula1>
    </dataValidation>
    <dataValidation type="list" allowBlank="1" showInputMessage="1" sqref="M17" xr:uid="{15BCAC80-F032-4969-99AD-35F3F2A65720}">
      <formula1>"×,月1,月2,月3,月4,月5,月6,月7,火1,火2,火3,火4,火5,火6,火7,水1,水2,水3,水4,水5,水6,水7,木1,木2,木3,木4,木5,木6,木7,金1,金2,金3,金4,金5,金6,金7"</formula1>
    </dataValidation>
    <dataValidation type="list" allowBlank="1" showInputMessage="1" sqref="P17" xr:uid="{B7131508-4DB8-4514-97F2-25381DAC39B8}">
      <formula1>"×,月1,月2,月3,月4,月5,月6,月7,火1,火2,火3,火4,火5,火6,火7,水1,水2,水3,水4,水5,水6,水7,木1,木2,木3,木4,木5,木6,木7,金1,金2,金3,金4,金5,金6,金7"</formula1>
    </dataValidation>
  </dataValidations>
  <printOptions horizontalCentered="1"/>
  <pageMargins left="0.78740157480314965" right="0.78740157480314965" top="0.78740157480314965" bottom="0.78740157480314965" header="0" footer="0"/>
  <pageSetup paperSize="9" scale="93"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tn_0">
              <controlPr defaultSize="0" print="0" autoFill="0" autoPict="0" macro="[0]!ボタン_新しい週">
                <anchor moveWithCells="1" sizeWithCells="1">
                  <from>
                    <xdr:col>17</xdr:col>
                    <xdr:colOff>60960</xdr:colOff>
                    <xdr:row>3</xdr:row>
                    <xdr:rowOff>30480</xdr:rowOff>
                  </from>
                  <to>
                    <xdr:col>19</xdr:col>
                    <xdr:colOff>0</xdr:colOff>
                    <xdr:row>3</xdr:row>
                    <xdr:rowOff>335280</xdr:rowOff>
                  </to>
                </anchor>
              </controlPr>
            </control>
          </mc:Choice>
        </mc:AlternateContent>
        <mc:AlternateContent xmlns:mc="http://schemas.openxmlformats.org/markup-compatibility/2006">
          <mc:Choice Requires="x14">
            <control shapeId="35842" r:id="rId5" name="Btn_1">
              <controlPr defaultSize="0" print="0" autoFill="0" autoPict="0" macro="[0]!ボタン_時間割展開">
                <anchor moveWithCells="1" sizeWithCells="1">
                  <from>
                    <xdr:col>17</xdr:col>
                    <xdr:colOff>60960</xdr:colOff>
                    <xdr:row>3</xdr:row>
                    <xdr:rowOff>434340</xdr:rowOff>
                  </from>
                  <to>
                    <xdr:col>19</xdr:col>
                    <xdr:colOff>0</xdr:colOff>
                    <xdr:row>4</xdr:row>
                    <xdr:rowOff>45720</xdr:rowOff>
                  </to>
                </anchor>
              </controlPr>
            </control>
          </mc:Choice>
        </mc:AlternateContent>
        <mc:AlternateContent xmlns:mc="http://schemas.openxmlformats.org/markup-compatibility/2006">
          <mc:Choice Requires="x14">
            <control shapeId="35843" r:id="rId6" name="Btn_2">
              <controlPr defaultSize="0" print="0" autoFill="0" autoPict="0" macro="[0]!ボタン_累計更新">
                <anchor moveWithCells="1" sizeWithCells="1">
                  <from>
                    <xdr:col>17</xdr:col>
                    <xdr:colOff>60960</xdr:colOff>
                    <xdr:row>4</xdr:row>
                    <xdr:rowOff>152400</xdr:rowOff>
                  </from>
                  <to>
                    <xdr:col>19</xdr:col>
                    <xdr:colOff>0</xdr:colOff>
                    <xdr:row>5</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xr:uid="{5538640B-3D8E-4CE2-983B-855197289E77}">
          <x14:formula1>
            <xm:f>基本設定!$B$6:$B$20</xm:f>
          </x14:formula1>
          <xm:sqref>B5 N19 K19 H19 E19 B19 N17 K17 H17 E17 B17 N15 K15 H15 E15 B15 N13 K13 H13 E13 B13 N11 K11 H11 E11 B11 N9 K9 H9 E9 B9 N7 K7 H7 E7 B7 N5 K5 H5 E5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17</vt:i4>
      </vt:variant>
    </vt:vector>
  </HeadingPairs>
  <TitlesOfParts>
    <vt:vector size="36" baseType="lpstr">
      <vt:lpstr>基本設定</vt:lpstr>
      <vt:lpstr>時間割マスター</vt:lpstr>
      <vt:lpstr>週案_テンプレート</vt:lpstr>
      <vt:lpstr>第01週</vt:lpstr>
      <vt:lpstr>第02週</vt:lpstr>
      <vt:lpstr>第03週</vt:lpstr>
      <vt:lpstr>第04週</vt:lpstr>
      <vt:lpstr>第05週</vt:lpstr>
      <vt:lpstr>第06週</vt:lpstr>
      <vt:lpstr>第07週</vt:lpstr>
      <vt:lpstr>第08週</vt:lpstr>
      <vt:lpstr>第09週</vt:lpstr>
      <vt:lpstr>第10週</vt:lpstr>
      <vt:lpstr>第11週</vt:lpstr>
      <vt:lpstr>第12週</vt:lpstr>
      <vt:lpstr>第13週</vt:lpstr>
      <vt:lpstr>第14週</vt:lpstr>
      <vt:lpstr>第15週</vt:lpstr>
      <vt:lpstr>第16週</vt:lpstr>
      <vt:lpstr>週案_テンプレート!Print_Area</vt:lpstr>
      <vt:lpstr>第01週!Print_Area</vt:lpstr>
      <vt:lpstr>第02週!Print_Area</vt:lpstr>
      <vt:lpstr>第03週!Print_Area</vt:lpstr>
      <vt:lpstr>第04週!Print_Area</vt:lpstr>
      <vt:lpstr>第05週!Print_Area</vt:lpstr>
      <vt:lpstr>第06週!Print_Area</vt:lpstr>
      <vt:lpstr>第07週!Print_Area</vt:lpstr>
      <vt:lpstr>第08週!Print_Area</vt:lpstr>
      <vt:lpstr>第09週!Print_Area</vt:lpstr>
      <vt:lpstr>第10週!Print_Area</vt:lpstr>
      <vt:lpstr>第11週!Print_Area</vt:lpstr>
      <vt:lpstr>第12週!Print_Area</vt:lpstr>
      <vt:lpstr>第13週!Print_Area</vt:lpstr>
      <vt:lpstr>第14週!Print_Area</vt:lpstr>
      <vt:lpstr>第15週!Print_Area</vt:lpstr>
      <vt:lpstr>第16週!Print_Area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2026-03-22T08:44:11Z</dcterms:created>
  <dcterms:modified xsi:type="dcterms:W3CDTF">2026-09-02T11:22:23Z</dcterms:modified>
</cp:coreProperties>
</file>